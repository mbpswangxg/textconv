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workspace\C#\textconv\bin\"/>
    </mc:Choice>
  </mc:AlternateContent>
  <xr:revisionPtr revIDLastSave="0" documentId="13_ncr:1_{7066CD94-D529-4D21-BCA9-D0DBAA29507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" sheetId="4" r:id="rId1"/>
    <sheet name="data" sheetId="10" r:id="rId2"/>
    <sheet name="readme" sheetId="11" r:id="rId3"/>
    <sheet name="sample-jae" sheetId="12" r:id="rId4"/>
  </sheets>
  <functionGroups builtInGroupCount="19"/>
  <externalReferences>
    <externalReference r:id="rId5"/>
  </externalReferences>
  <definedNames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9" i="4" l="1"/>
  <c r="A18" i="4"/>
  <c r="A27" i="11"/>
  <c r="A26" i="11"/>
  <c r="A28" i="11"/>
  <c r="A15" i="4"/>
  <c r="A17" i="4"/>
  <c r="A132" i="12"/>
  <c r="A131" i="12"/>
  <c r="A130" i="12"/>
  <c r="A129" i="12"/>
  <c r="A128" i="12"/>
  <c r="A127" i="12"/>
  <c r="A126" i="12"/>
  <c r="A125" i="12"/>
  <c r="A124" i="12"/>
  <c r="A123" i="12"/>
  <c r="A122" i="12"/>
  <c r="A121" i="12"/>
  <c r="A120" i="12"/>
  <c r="A119" i="12"/>
  <c r="A118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7" i="12"/>
  <c r="A36" i="12"/>
  <c r="A35" i="12"/>
  <c r="A34" i="12"/>
  <c r="D33" i="12"/>
  <c r="A33" i="12"/>
  <c r="A32" i="12"/>
  <c r="A31" i="12"/>
  <c r="A30" i="12"/>
  <c r="D29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D3" i="12"/>
  <c r="D124" i="12" s="1"/>
  <c r="C2" i="12"/>
  <c r="F1" i="12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9" i="11"/>
  <c r="A30" i="11"/>
  <c r="A31" i="11"/>
  <c r="A32" i="11"/>
  <c r="A33" i="11"/>
  <c r="A34" i="11"/>
  <c r="C2" i="4"/>
  <c r="C2" i="11"/>
  <c r="D45" i="12" l="1"/>
  <c r="D105" i="12"/>
  <c r="D46" i="12"/>
  <c r="D100" i="12"/>
  <c r="D47" i="12"/>
  <c r="D101" i="12"/>
  <c r="D118" i="12"/>
  <c r="D44" i="12"/>
  <c r="C37" i="10" l="1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D22" i="10"/>
  <c r="C22" i="10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2" i="10" l="1"/>
  <c r="C9" i="10"/>
  <c r="C8" i="10"/>
  <c r="C7" i="10"/>
  <c r="C6" i="10"/>
  <c r="C5" i="10"/>
  <c r="C4" i="10"/>
  <c r="F1" i="4" l="1"/>
  <c r="A1" i="10"/>
  <c r="D3" i="4" l="1"/>
  <c r="C3" i="10"/>
  <c r="D1" i="10"/>
  <c r="D37" i="10" l="1"/>
  <c r="D35" i="10"/>
  <c r="D33" i="10"/>
  <c r="D31" i="10"/>
  <c r="D29" i="10"/>
  <c r="D27" i="10"/>
  <c r="D25" i="10"/>
  <c r="D23" i="10"/>
  <c r="D36" i="10"/>
  <c r="D34" i="10"/>
  <c r="D32" i="10"/>
  <c r="D30" i="10"/>
  <c r="D28" i="10"/>
  <c r="D26" i="10"/>
  <c r="D24" i="10"/>
  <c r="D8" i="10"/>
  <c r="D7" i="10"/>
  <c r="D9" i="10"/>
  <c r="D5" i="10"/>
  <c r="D6" i="10"/>
  <c r="D4" i="10"/>
  <c r="D3" i="10"/>
  <c r="A16" i="4" l="1"/>
  <c r="A14" i="4"/>
  <c r="A13" i="4"/>
  <c r="A12" i="4"/>
  <c r="A1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 小広</author>
  </authors>
  <commentList>
    <comment ref="E10" authorId="0" shapeId="0" xr:uid="{00000000-0006-0000-0000-000001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 小広</author>
  </authors>
  <commentList>
    <comment ref="E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 小広</author>
  </authors>
  <commentList>
    <comment ref="G10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  <comment ref="G34" authorId="0" shapeId="0" xr:uid="{00000000-0006-0000-0200-000002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  <comment ref="B50" authorId="0" shapeId="0" xr:uid="{00000000-0006-0000-0200-000003000000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王 小広</author>
  </authors>
  <commentList>
    <comment ref="E10" authorId="0" shapeId="0" xr:uid="{132FED0F-5B2C-4F19-ACE2-482D492DBAA7}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sharedStrings.xml><?xml version="1.0" encoding="utf-8"?>
<sst xmlns="http://schemas.openxmlformats.org/spreadsheetml/2006/main" count="716" uniqueCount="288">
  <si>
    <t>open</t>
  </si>
  <si>
    <t>open</t>
    <phoneticPr fontId="1"/>
  </si>
  <si>
    <t>http://localhost:8080/imart/login</t>
  </si>
  <si>
    <t>resize</t>
  </si>
  <si>
    <t>window</t>
    <phoneticPr fontId="1"/>
  </si>
  <si>
    <t>click</t>
  </si>
  <si>
    <t>click</t>
    <phoneticPr fontId="1"/>
  </si>
  <si>
    <t>css=.imui-btn-login</t>
    <phoneticPr fontId="1"/>
  </si>
  <si>
    <t>wait</t>
  </si>
  <si>
    <t>http://localhost:8080/imart/menu/common/iframe_sender?menuId=im_bpw_entry</t>
    <phoneticPr fontId="1"/>
  </si>
  <si>
    <t>switchTo</t>
  </si>
  <si>
    <t>frame</t>
    <phoneticPr fontId="1"/>
  </si>
  <si>
    <t>XPath=//*[@name="category"]</t>
    <phoneticPr fontId="1"/>
  </si>
  <si>
    <t>click</t>
    <phoneticPr fontId="1"/>
  </si>
  <si>
    <t>name=search</t>
    <phoneticPr fontId="1"/>
  </si>
  <si>
    <t>command</t>
    <phoneticPr fontId="1"/>
  </si>
  <si>
    <t>target</t>
    <phoneticPr fontId="1"/>
  </si>
  <si>
    <t>Comment</t>
    <phoneticPr fontId="1"/>
  </si>
  <si>
    <t xml:space="preserve">#起票画面 </t>
    <phoneticPr fontId="1"/>
  </si>
  <si>
    <t>#header</t>
    <phoneticPr fontId="1"/>
  </si>
  <si>
    <t>actions</t>
    <phoneticPr fontId="1"/>
  </si>
  <si>
    <t>interval</t>
    <phoneticPr fontId="1"/>
  </si>
  <si>
    <t>#details</t>
    <phoneticPr fontId="1"/>
  </si>
  <si>
    <t>id=im_user</t>
    <phoneticPr fontId="1"/>
  </si>
  <si>
    <t>DefaultContent</t>
  </si>
  <si>
    <t>name=process_name</t>
    <phoneticPr fontId="1"/>
  </si>
  <si>
    <t>name=draft_comment</t>
    <phoneticPr fontId="1"/>
  </si>
  <si>
    <t>type</t>
    <phoneticPr fontId="1"/>
  </si>
  <si>
    <t>name=mail_subject</t>
    <phoneticPr fontId="1"/>
  </si>
  <si>
    <t>linktext=検索</t>
    <rPh sb="9" eb="11">
      <t>ケンサク</t>
    </rPh>
    <phoneticPr fontId="1"/>
  </si>
  <si>
    <t>css=table:nth-child(9) strong &gt; a:nth-child(2) &gt; img</t>
    <phoneticPr fontId="1"/>
  </si>
  <si>
    <t>css=tr:nth-child(7) &gt; .list_data_bg &gt; input</t>
    <phoneticPr fontId="1"/>
  </si>
  <si>
    <t>css=tr:nth-child(8) &gt; .list_data_bg &gt; input</t>
  </si>
  <si>
    <t>css=tr:nth-child(9) &gt; .list_data_bg &gt; input</t>
  </si>
  <si>
    <t>name=regist</t>
    <phoneticPr fontId="1"/>
  </si>
  <si>
    <t>linktext=閉じる</t>
    <rPh sb="9" eb="10">
      <t>ト</t>
    </rPh>
    <phoneticPr fontId="1"/>
  </si>
  <si>
    <t>メイン画面へ戻る</t>
    <rPh sb="3" eb="5">
      <t>ガメン</t>
    </rPh>
    <rPh sb="6" eb="7">
      <t>モド</t>
    </rPh>
    <phoneticPr fontId="1"/>
  </si>
  <si>
    <t>name=mail_body</t>
    <phoneticPr fontId="1"/>
  </si>
  <si>
    <t>value</t>
    <phoneticPr fontId="1"/>
  </si>
  <si>
    <t>wangxg</t>
    <phoneticPr fontId="1"/>
  </si>
  <si>
    <t>IM_MAIN</t>
    <phoneticPr fontId="1"/>
  </si>
  <si>
    <t>1</t>
    <phoneticPr fontId="1"/>
  </si>
  <si>
    <t>root</t>
    <phoneticPr fontId="1"/>
  </si>
  <si>
    <t>0</t>
    <phoneticPr fontId="1"/>
  </si>
  <si>
    <t>＃BPW申請－共通</t>
    <rPh sb="4" eb="6">
      <t>シンセイ</t>
    </rPh>
    <rPh sb="7" eb="9">
      <t>キョウツウ</t>
    </rPh>
    <phoneticPr fontId="1"/>
  </si>
  <si>
    <t>sendkeys</t>
    <phoneticPr fontId="1"/>
  </si>
  <si>
    <t>{enter}</t>
    <phoneticPr fontId="1"/>
  </si>
  <si>
    <t>linktext=添付ファイル登録</t>
    <rPh sb="9" eb="11">
      <t>テンプ</t>
    </rPh>
    <rPh sb="15" eb="17">
      <t>トウロク</t>
    </rPh>
    <phoneticPr fontId="1"/>
  </si>
  <si>
    <t>name=content</t>
    <phoneticPr fontId="1"/>
  </si>
  <si>
    <t>name=changeName</t>
    <phoneticPr fontId="1"/>
  </si>
  <si>
    <t>login画面</t>
    <rPh sb="5" eb="7">
      <t>ガメン</t>
    </rPh>
    <phoneticPr fontId="1"/>
  </si>
  <si>
    <t>tenant取得の為</t>
    <rPh sb="6" eb="8">
      <t>シュトク</t>
    </rPh>
    <rPh sb="9" eb="10">
      <t>タメ</t>
    </rPh>
    <phoneticPr fontId="1"/>
  </si>
  <si>
    <t>ID入力</t>
    <rPh sb="2" eb="4">
      <t>ニュウリョク</t>
    </rPh>
    <phoneticPr fontId="1"/>
  </si>
  <si>
    <t>XPathFormat=//option[. = '{0}']</t>
    <phoneticPr fontId="1"/>
  </si>
  <si>
    <t>1800_JAE-US</t>
  </si>
  <si>
    <t>DropDown選択</t>
    <rPh sb="8" eb="10">
      <t>センタク</t>
    </rPh>
    <phoneticPr fontId="1"/>
  </si>
  <si>
    <t>Opion選定</t>
    <rPh sb="5" eb="7">
      <t>センテイ</t>
    </rPh>
    <phoneticPr fontId="1"/>
  </si>
  <si>
    <t>検索</t>
    <rPh sb="0" eb="2">
      <t>ケンサク</t>
    </rPh>
    <phoneticPr fontId="1"/>
  </si>
  <si>
    <t>＃mailto:ユーザ検索画面</t>
    <rPh sb="11" eb="13">
      <t>ケンサク</t>
    </rPh>
    <rPh sb="13" eb="15">
      <t>ガメン</t>
    </rPh>
    <phoneticPr fontId="1"/>
  </si>
  <si>
    <t>popup</t>
    <phoneticPr fontId="1"/>
  </si>
  <si>
    <t>＃添付ファイル登録画面</t>
    <rPh sb="1" eb="3">
      <t>テンプ</t>
    </rPh>
    <rPh sb="7" eb="9">
      <t>トウロク</t>
    </rPh>
    <rPh sb="9" eb="11">
      <t>ガメン</t>
    </rPh>
    <phoneticPr fontId="1"/>
  </si>
  <si>
    <t>下部の共通入力Frame</t>
    <rPh sb="0" eb="1">
      <t>シタ</t>
    </rPh>
    <rPh sb="3" eb="5">
      <t>キョウツウ</t>
    </rPh>
    <rPh sb="5" eb="7">
      <t>ニュウリョク</t>
    </rPh>
    <phoneticPr fontId="1"/>
  </si>
  <si>
    <t>登録・更新の切替</t>
    <rPh sb="0" eb="2">
      <t>トウロク</t>
    </rPh>
    <rPh sb="3" eb="5">
      <t>コウシン</t>
    </rPh>
    <rPh sb="6" eb="8">
      <t>キリカエ</t>
    </rPh>
    <phoneticPr fontId="1"/>
  </si>
  <si>
    <t>Xpath=//a[contains(@onclick, "submitAction")]</t>
    <phoneticPr fontId="1"/>
  </si>
  <si>
    <t>wait</t>
    <phoneticPr fontId="1"/>
  </si>
  <si>
    <t>name=save</t>
    <phoneticPr fontId="1"/>
  </si>
  <si>
    <t>決定</t>
    <rPh sb="0" eb="2">
      <t>ケッテイ</t>
    </rPh>
    <phoneticPr fontId="1"/>
  </si>
  <si>
    <t>alert</t>
    <phoneticPr fontId="1"/>
  </si>
  <si>
    <t>#Title</t>
    <phoneticPr fontId="1"/>
  </si>
  <si>
    <t>#folder</t>
    <phoneticPr fontId="1"/>
  </si>
  <si>
    <t>webyml</t>
    <phoneticPr fontId="1"/>
  </si>
  <si>
    <t>C:\tool\textconv\bin\WebDriver.xml</t>
  </si>
  <si>
    <t>atachfile00002</t>
    <phoneticPr fontId="1"/>
  </si>
  <si>
    <t>1000x900</t>
    <phoneticPr fontId="1"/>
  </si>
  <si>
    <t>overwrite</t>
    <phoneticPr fontId="1"/>
  </si>
  <si>
    <t>#特定WFへ</t>
    <rPh sb="1" eb="3">
      <t>トクテイ</t>
    </rPh>
    <phoneticPr fontId="1"/>
  </si>
  <si>
    <t>ルーt１を選択</t>
    <rPh sb="5" eb="7">
      <t>センタク</t>
    </rPh>
    <phoneticPr fontId="1"/>
  </si>
  <si>
    <t>未処理案件一覧（本人用）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</si>
  <si>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案件名称</t>
    <rPh sb="0" eb="2">
      <t>アンケン</t>
    </rPh>
    <rPh sb="2" eb="4">
      <t>メイショウ</t>
    </rPh>
    <phoneticPr fontId="1"/>
  </si>
  <si>
    <t>name=receive_comment</t>
    <phoneticPr fontId="1"/>
  </si>
  <si>
    <t>XPathFormat=//*[contains(text(),"{0}")]/parent::tr/td[1]/a</t>
    <phoneticPr fontId="1"/>
  </si>
  <si>
    <t>overwrite</t>
    <phoneticPr fontId="1"/>
  </si>
  <si>
    <t>item_id</t>
  </si>
  <si>
    <t>処理済案件一覧（本人用）</t>
    <rPh sb="0" eb="2">
      <t>ショリ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</si>
  <si>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http://localhost:8080/imart/menu/common/iframe_sender?menuId=im_bpw_reference</t>
  </si>
  <si>
    <t>参照案件一覧</t>
    <rPh sb="0" eb="2">
      <t>サンショウ</t>
    </rPh>
    <rPh sb="2" eb="4">
      <t>アンケン</t>
    </rPh>
    <rPh sb="4" eb="6">
      <t>イチラン</t>
    </rPh>
    <phoneticPr fontId="1"/>
  </si>
  <si>
    <t>close</t>
    <phoneticPr fontId="1"/>
  </si>
  <si>
    <t>http://localhost:8080/imart/logout</t>
    <phoneticPr fontId="1"/>
  </si>
  <si>
    <t>ログアウト</t>
    <phoneticPr fontId="1"/>
  </si>
  <si>
    <t>shotfromstep</t>
    <phoneticPr fontId="1"/>
  </si>
  <si>
    <t>frame0:検索、frame1:detail</t>
    <rPh sb="7" eb="9">
      <t>ケンサク</t>
    </rPh>
    <phoneticPr fontId="1"/>
  </si>
  <si>
    <t>var</t>
    <phoneticPr fontId="1"/>
  </si>
  <si>
    <t>ifvar</t>
    <phoneticPr fontId="1"/>
  </si>
  <si>
    <t>ルーt２を選択</t>
    <rPh sb="5" eb="7">
      <t>センタク</t>
    </rPh>
    <phoneticPr fontId="1"/>
  </si>
  <si>
    <t>routeX</t>
    <phoneticPr fontId="1"/>
  </si>
  <si>
    <t>1回目承認の場合</t>
    <rPh sb="1" eb="5">
      <t>カイメショウニン</t>
    </rPh>
    <rPh sb="6" eb="8">
      <t>バアイ</t>
    </rPh>
    <phoneticPr fontId="1"/>
  </si>
  <si>
    <t>wait</t>
    <phoneticPr fontId="1"/>
  </si>
  <si>
    <t>switchTo</t>
    <phoneticPr fontId="1"/>
  </si>
  <si>
    <t>label</t>
    <phoneticPr fontId="1"/>
  </si>
  <si>
    <t>route2</t>
    <phoneticPr fontId="1"/>
  </si>
  <si>
    <t>draft01</t>
    <phoneticPr fontId="1"/>
  </si>
  <si>
    <t>route2で再起票</t>
    <rPh sb="7" eb="10">
      <t>サイキヒョウ</t>
    </rPh>
    <phoneticPr fontId="1"/>
  </si>
  <si>
    <t>approve</t>
    <phoneticPr fontId="1"/>
  </si>
  <si>
    <t>ifnot</t>
    <phoneticPr fontId="1"/>
  </si>
  <si>
    <t>上部のBPWフロー詳細</t>
    <rPh sb="0" eb="2">
      <t>ジョウブ</t>
    </rPh>
    <rPh sb="9" eb="11">
      <t>ショウサイ</t>
    </rPh>
    <phoneticPr fontId="1"/>
  </si>
  <si>
    <t>xpath=//img[contains(@onclick, "callNewEntry('00000000000000000001'")]</t>
    <phoneticPr fontId="1"/>
  </si>
  <si>
    <t>xpath=//img[contains(@onclick, "callNewEntry('00000000000000000002'")]</t>
    <phoneticPr fontId="1"/>
  </si>
  <si>
    <t>goto:approve</t>
    <phoneticPr fontId="1"/>
  </si>
  <si>
    <t>http://localhost:8080/imart/menu/common/iframe_sender?menuId=im_bpw_not_comp</t>
    <phoneticPr fontId="1"/>
  </si>
  <si>
    <t>詳細画面</t>
    <rPh sb="0" eb="2">
      <t>ショウサイ</t>
    </rPh>
    <rPh sb="2" eb="4">
      <t>ガメン</t>
    </rPh>
    <phoneticPr fontId="1"/>
  </si>
  <si>
    <t>ifind</t>
  </si>
  <si>
    <t>draft02</t>
    <phoneticPr fontId="1"/>
  </si>
  <si>
    <t>existFlow</t>
    <phoneticPr fontId="1"/>
  </si>
  <si>
    <t>goto</t>
    <phoneticPr fontId="1"/>
  </si>
  <si>
    <t>XPathFormat=//*[contains(text(),"{0}")]/parent::tr/td[1]/a;goto:draft02</t>
    <phoneticPr fontId="1"/>
  </si>
  <si>
    <t>XPath=//img[contains(@src,"next")]</t>
    <phoneticPr fontId="1"/>
  </si>
  <si>
    <t>shotflag</t>
    <phoneticPr fontId="1"/>
  </si>
  <si>
    <t>-1</t>
    <phoneticPr fontId="1"/>
  </si>
  <si>
    <t>XPathFormat=//td[contains(text(),"{0}")]/parent::tr/td/a/img[contains(@src, "flow")]</t>
    <phoneticPr fontId="1"/>
  </si>
  <si>
    <t>XPathFormat=//td[contains(text(),"{0}")]/parent::tr/td/a/img[contains(@src, "arrival")]</t>
    <phoneticPr fontId="1"/>
  </si>
  <si>
    <t>text_width</t>
  </si>
  <si>
    <t>« NULL »</t>
  </si>
  <si>
    <t>Route選択</t>
    <rPh sb="5" eb="7">
      <t>センタク</t>
    </rPh>
    <phoneticPr fontId="1"/>
  </si>
  <si>
    <t>500</t>
    <phoneticPr fontId="1"/>
  </si>
  <si>
    <t>goto</t>
  </si>
  <si>
    <t>ifind</t>
    <phoneticPr fontId="1"/>
  </si>
  <si>
    <t>http://localhost:8080/imart/menu/common/iframe_sender?menuId=im_bpw_consented</t>
    <phoneticPr fontId="1"/>
  </si>
  <si>
    <t>im_bpw_consented</t>
    <phoneticPr fontId="1"/>
  </si>
  <si>
    <t>ルート選択</t>
    <rPh sb="3" eb="5">
      <t>センタク</t>
    </rPh>
    <phoneticPr fontId="1"/>
  </si>
  <si>
    <t>routeX=1;goto:route1</t>
    <phoneticPr fontId="1"/>
  </si>
  <si>
    <t>承認</t>
    <rPh sb="0" eb="2">
      <t>ショウニン</t>
    </rPh>
    <phoneticPr fontId="1"/>
  </si>
  <si>
    <t>routeselect</t>
    <phoneticPr fontId="1"/>
  </si>
  <si>
    <t>xpath=//*[contains(text(),"ルート選択")]; goto:routeselect</t>
    <phoneticPr fontId="1"/>
  </si>
  <si>
    <t>goto:im_bpw_not_comp</t>
    <phoneticPr fontId="1"/>
  </si>
  <si>
    <t>XPathFormat=//*[contains(text(),"{0}")]/parent::tr/td[1]/a; goto:im_bpw_consented</t>
    <phoneticPr fontId="1"/>
  </si>
  <si>
    <t>hasroute</t>
    <phoneticPr fontId="1"/>
  </si>
  <si>
    <t>shotcmd</t>
    <phoneticPr fontId="1"/>
  </si>
  <si>
    <t>15</t>
    <phoneticPr fontId="1"/>
  </si>
  <si>
    <t>item_type</t>
  </si>
  <si>
    <t>02</t>
  </si>
  <si>
    <t>04</t>
  </si>
  <si>
    <t>effect_decimal</t>
  </si>
  <si>
    <t>#ref:data</t>
    <phoneticPr fontId="1"/>
  </si>
  <si>
    <t>target</t>
    <phoneticPr fontId="1"/>
  </si>
  <si>
    <t>06</t>
  </si>
  <si>
    <t>xpathformat=//a[contains(@onclick,"displayFloatingCalendar") and contains(@onclick,"{0}") ];click|css=a b</t>
    <phoneticPr fontId="1"/>
  </si>
  <si>
    <t>im_bpw_not_comp</t>
    <phoneticPr fontId="1"/>
  </si>
  <si>
    <t>xpath=//*[contains(text(),"起票(本人用)")]; goto:im_bpw_not_comp</t>
    <phoneticPr fontId="1"/>
  </si>
  <si>
    <t>未処理一覧に存在チェック</t>
    <rPh sb="0" eb="3">
      <t>ミショリ</t>
    </rPh>
    <rPh sb="3" eb="5">
      <t>イチラン</t>
    </rPh>
    <rPh sb="6" eb="8">
      <t>ソンザイ</t>
    </rPh>
    <phoneticPr fontId="1"/>
  </si>
  <si>
    <t>Route選択へ</t>
    <rPh sb="5" eb="7">
      <t>センタク</t>
    </rPh>
    <phoneticPr fontId="1"/>
  </si>
  <si>
    <t>未処理チェックへ</t>
    <rPh sb="0" eb="3">
      <t>ミショリ</t>
    </rPh>
    <phoneticPr fontId="1"/>
  </si>
  <si>
    <t>フロー画面</t>
    <rPh sb="3" eb="5">
      <t>ガメン</t>
    </rPh>
    <phoneticPr fontId="1"/>
  </si>
  <si>
    <t>[open, popup, click]</t>
    <phoneticPr fontId="1"/>
  </si>
  <si>
    <t>route1</t>
    <phoneticPr fontId="1"/>
  </si>
  <si>
    <t>routeX=2;goto:route2</t>
    <phoneticPr fontId="1"/>
  </si>
  <si>
    <t>routeX=2;goto:draft01</t>
    <phoneticPr fontId="1"/>
  </si>
  <si>
    <t>改ページ</t>
    <rPh sb="0" eb="1">
      <t>カイ</t>
    </rPh>
    <phoneticPr fontId="1"/>
  </si>
  <si>
    <t>hasroute=1;math|routeX+1</t>
    <phoneticPr fontId="1"/>
  </si>
  <si>
    <t>qty3</t>
  </si>
  <si>
    <t>qty10</t>
  </si>
  <si>
    <t>qty9</t>
  </si>
  <si>
    <t>qty8</t>
  </si>
  <si>
    <t>qty7</t>
  </si>
  <si>
    <t>qty6</t>
  </si>
  <si>
    <t>qty5</t>
  </si>
  <si>
    <t>qty4</t>
  </si>
  <si>
    <t>qty2</t>
  </si>
  <si>
    <t>qty1</t>
  </si>
  <si>
    <t>5hxa7zflfnwwxe9</t>
  </si>
  <si>
    <t>5hxa7zflkfcxte9</t>
  </si>
  <si>
    <t>5hxa7zfmka4yae9</t>
  </si>
  <si>
    <t>5hxa7zfmo2uyre9</t>
  </si>
  <si>
    <t>5hxa7zfyg0kege9</t>
  </si>
  <si>
    <t>5hxa7zfzhhjexe9</t>
  </si>
  <si>
    <t>5hxa7zfzn0rfwe9</t>
  </si>
  <si>
    <t>5hxa7zfzrwjhae9</t>
  </si>
  <si>
    <t>5hxa7z3e2mrybe9</t>
  </si>
  <si>
    <t>5hxa7z34emiure9</t>
  </si>
  <si>
    <t>5hxa7z36jq45pe9</t>
  </si>
  <si>
    <t>5hxa7z36s3r8be9</t>
  </si>
  <si>
    <t>5hxa7z3b83scwe9</t>
  </si>
  <si>
    <t>5hxa7z3o8014je9</t>
  </si>
  <si>
    <t>5hxa7zfzvoenwe9</t>
  </si>
  <si>
    <t>price10</t>
  </si>
  <si>
    <t>price1</t>
  </si>
  <si>
    <t>price9</t>
  </si>
  <si>
    <t>price8</t>
  </si>
  <si>
    <t>price7</t>
  </si>
  <si>
    <t>price6</t>
  </si>
  <si>
    <t>price5</t>
  </si>
  <si>
    <t>price4</t>
  </si>
  <si>
    <t>price3</t>
  </si>
  <si>
    <t>price2</t>
  </si>
  <si>
    <t>5hxa7z32d6tlse9</t>
  </si>
  <si>
    <t>routeX=2;goto:existFlow</t>
    <phoneticPr fontId="1"/>
  </si>
  <si>
    <t>1800_Office Supply(WH)</t>
  </si>
  <si>
    <t>param1</t>
    <phoneticPr fontId="1"/>
  </si>
  <si>
    <t>概要説明➡例：</t>
    <rPh sb="0" eb="2">
      <t>ガイヨウ</t>
    </rPh>
    <rPh sb="2" eb="4">
      <t>セツメイ</t>
    </rPh>
    <rPh sb="5" eb="6">
      <t>レイ</t>
    </rPh>
    <phoneticPr fontId="1"/>
  </si>
  <si>
    <t>特定URLを開く,URLが必須</t>
    <rPh sb="0" eb="2">
      <t>トクテイ</t>
    </rPh>
    <rPh sb="6" eb="7">
      <t>ヒラ</t>
    </rPh>
    <rPh sb="13" eb="15">
      <t>ヒッス</t>
    </rPh>
    <phoneticPr fontId="1"/>
  </si>
  <si>
    <t>www.google.com</t>
    <phoneticPr fontId="1"/>
  </si>
  <si>
    <t>valueの指定ms時間を待つ</t>
    <rPh sb="6" eb="8">
      <t>シテイ</t>
    </rPh>
    <rPh sb="10" eb="12">
      <t>ジカン</t>
    </rPh>
    <rPh sb="13" eb="14">
      <t>マ</t>
    </rPh>
    <phoneticPr fontId="1"/>
  </si>
  <si>
    <t>windowサイズ設定</t>
    <rPh sb="9" eb="11">
      <t>セッテイ</t>
    </rPh>
    <phoneticPr fontId="1"/>
  </si>
  <si>
    <t>input-textにvalueを上書く</t>
    <rPh sb="17" eb="19">
      <t>ウワガ</t>
    </rPh>
    <phoneticPr fontId="1"/>
  </si>
  <si>
    <t>id=userid</t>
    <phoneticPr fontId="1"/>
  </si>
  <si>
    <t>tester</t>
    <phoneticPr fontId="1"/>
  </si>
  <si>
    <t>targetで特定elementをクリック</t>
    <rPh sb="7" eb="9">
      <t>トクテイ</t>
    </rPh>
    <phoneticPr fontId="1"/>
  </si>
  <si>
    <t>変数宣言</t>
    <rPh sb="0" eb="2">
      <t>ヘンスウ</t>
    </rPh>
    <rPh sb="2" eb="4">
      <t>センゲン</t>
    </rPh>
    <phoneticPr fontId="1"/>
  </si>
  <si>
    <t>特定処理位置宣言</t>
    <rPh sb="0" eb="2">
      <t>トクテイ</t>
    </rPh>
    <rPh sb="2" eb="4">
      <t>ショリ</t>
    </rPh>
    <rPh sb="4" eb="6">
      <t>イチ</t>
    </rPh>
    <rPh sb="6" eb="8">
      <t>センゲン</t>
    </rPh>
    <phoneticPr fontId="1"/>
  </si>
  <si>
    <t>変数値を判定して；後ろの処理を行う</t>
    <rPh sb="0" eb="2">
      <t>ヘンスウ</t>
    </rPh>
    <rPh sb="2" eb="3">
      <t>チ</t>
    </rPh>
    <rPh sb="4" eb="6">
      <t>ハンテイ</t>
    </rPh>
    <rPh sb="9" eb="10">
      <t>ウシ</t>
    </rPh>
    <rPh sb="12" eb="14">
      <t>ショリ</t>
    </rPh>
    <rPh sb="15" eb="16">
      <t>オコナ</t>
    </rPh>
    <phoneticPr fontId="1"/>
  </si>
  <si>
    <t>routeX=2;goto:draft01</t>
    <phoneticPr fontId="1"/>
  </si>
  <si>
    <t>特定elementが存在する場合；後ろを実行</t>
    <rPh sb="0" eb="2">
      <t>トクテイ</t>
    </rPh>
    <rPh sb="10" eb="12">
      <t>ソンザイ</t>
    </rPh>
    <rPh sb="14" eb="16">
      <t>バアイ</t>
    </rPh>
    <rPh sb="17" eb="18">
      <t>ウシ</t>
    </rPh>
    <rPh sb="20" eb="22">
      <t>ジッコウ</t>
    </rPh>
    <phoneticPr fontId="1"/>
  </si>
  <si>
    <t>特定elementが存在しない場合；後ろを実行</t>
    <rPh sb="0" eb="2">
      <t>トクテイ</t>
    </rPh>
    <rPh sb="10" eb="12">
      <t>ソンザイ</t>
    </rPh>
    <rPh sb="15" eb="17">
      <t>バアイ</t>
    </rPh>
    <rPh sb="18" eb="19">
      <t>ウシ</t>
    </rPh>
    <rPh sb="21" eb="23">
      <t>ジッコウ</t>
    </rPh>
    <phoneticPr fontId="1"/>
  </si>
  <si>
    <t>特定処理位置へ移動</t>
    <rPh sb="0" eb="2">
      <t>トクテイ</t>
    </rPh>
    <rPh sb="2" eb="4">
      <t>ショリ</t>
    </rPh>
    <rPh sb="4" eb="6">
      <t>イチ</t>
    </rPh>
    <rPh sb="7" eb="9">
      <t>イドウ</t>
    </rPh>
    <phoneticPr fontId="1"/>
  </si>
  <si>
    <t>別worksheet[data]に記載されたデータを参照</t>
    <rPh sb="0" eb="1">
      <t>ベツ</t>
    </rPh>
    <rPh sb="17" eb="19">
      <t>キサイ</t>
    </rPh>
    <rPh sb="26" eb="28">
      <t>サンショウ</t>
    </rPh>
    <phoneticPr fontId="1"/>
  </si>
  <si>
    <t>input-textにvalueを追記入力</t>
    <rPh sb="17" eb="19">
      <t>ツイキ</t>
    </rPh>
    <rPh sb="19" eb="21">
      <t>ニュウリョク</t>
    </rPh>
    <phoneticPr fontId="1"/>
  </si>
  <si>
    <t>test002</t>
    <phoneticPr fontId="1"/>
  </si>
  <si>
    <t>newwind</t>
    <phoneticPr fontId="1"/>
  </si>
  <si>
    <t>特定elementをクリックして、POPUP画面を起動</t>
    <rPh sb="0" eb="2">
      <t>トクテイ</t>
    </rPh>
    <rPh sb="22" eb="24">
      <t>ガメン</t>
    </rPh>
    <rPh sb="25" eb="27">
      <t>キドウ</t>
    </rPh>
    <phoneticPr fontId="1"/>
  </si>
  <si>
    <t>特定fileuploadにvalueを送信</t>
    <rPh sb="0" eb="2">
      <t>トクテイ</t>
    </rPh>
    <rPh sb="19" eb="21">
      <t>ソウシン</t>
    </rPh>
    <phoneticPr fontId="1"/>
  </si>
  <si>
    <t>キー送信。EnterKeyで確定等</t>
    <rPh sb="2" eb="4">
      <t>ソウシン</t>
    </rPh>
    <rPh sb="14" eb="16">
      <t>カクテイ</t>
    </rPh>
    <rPh sb="16" eb="17">
      <t>トウ</t>
    </rPh>
    <phoneticPr fontId="1"/>
  </si>
  <si>
    <t>windowを閉じる</t>
    <rPh sb="7" eb="8">
      <t>ト</t>
    </rPh>
    <phoneticPr fontId="1"/>
  </si>
  <si>
    <t>close</t>
    <phoneticPr fontId="1"/>
  </si>
  <si>
    <t>特定Windowへ切替</t>
    <rPh sb="0" eb="2">
      <t>トクテイ</t>
    </rPh>
    <rPh sb="9" eb="11">
      <t>キリカエ</t>
    </rPh>
    <phoneticPr fontId="1"/>
  </si>
  <si>
    <t>window</t>
    <phoneticPr fontId="1"/>
  </si>
  <si>
    <t>root</t>
    <phoneticPr fontId="1"/>
  </si>
  <si>
    <t>特定Frameへ切替</t>
    <rPh sb="0" eb="2">
      <t>トクテイ</t>
    </rPh>
    <rPh sb="8" eb="10">
      <t>キリカエ</t>
    </rPh>
    <phoneticPr fontId="1"/>
  </si>
  <si>
    <t>alert・confirmへ切替</t>
    <rPh sb="14" eb="16">
      <t>キリカエ</t>
    </rPh>
    <phoneticPr fontId="1"/>
  </si>
  <si>
    <t>alert</t>
    <phoneticPr fontId="1"/>
  </si>
  <si>
    <t>Default画面へ切替</t>
    <rPh sb="7" eb="9">
      <t>ガメン</t>
    </rPh>
    <rPh sb="10" eb="12">
      <t>キリカエ</t>
    </rPh>
    <phoneticPr fontId="1"/>
  </si>
  <si>
    <t>DefaultContent</t>
    <phoneticPr fontId="1"/>
  </si>
  <si>
    <t>C:\test.xml</t>
    <phoneticPr fontId="1"/>
  </si>
  <si>
    <t>id=testid</t>
    <phoneticPr fontId="1"/>
  </si>
  <si>
    <t>idでelementを取得</t>
    <rPh sb="11" eb="13">
      <t>シュトク</t>
    </rPh>
    <phoneticPr fontId="1"/>
  </si>
  <si>
    <t>css=.classname</t>
    <phoneticPr fontId="1"/>
  </si>
  <si>
    <t>cssでelementを取得</t>
    <rPh sb="12" eb="14">
      <t>シュトク</t>
    </rPh>
    <phoneticPr fontId="1"/>
  </si>
  <si>
    <t>linktext=検索</t>
  </si>
  <si>
    <t>表示文字でelementを取得</t>
    <rPh sb="0" eb="2">
      <t>ヒョウジ</t>
    </rPh>
    <rPh sb="2" eb="4">
      <t>モジ</t>
    </rPh>
    <rPh sb="13" eb="15">
      <t>シュトク</t>
    </rPh>
    <phoneticPr fontId="1"/>
  </si>
  <si>
    <t>XPath=//img[contains(@src,"next")]</t>
  </si>
  <si>
    <t>xpathでelementを取得</t>
    <rPh sb="14" eb="16">
      <t>シュトク</t>
    </rPh>
    <phoneticPr fontId="1"/>
  </si>
  <si>
    <t>XPathFormat=//*[contains(text(),"{0}")]/</t>
    <phoneticPr fontId="1"/>
  </si>
  <si>
    <t>test</t>
    <phoneticPr fontId="1"/>
  </si>
  <si>
    <t>routeX=1;goto:route1</t>
  </si>
  <si>
    <t>ifの判定内容、；以降は独立コマンドで実行</t>
    <rPh sb="3" eb="5">
      <t>ハンテイ</t>
    </rPh>
    <rPh sb="5" eb="7">
      <t>ナイヨウ</t>
    </rPh>
    <rPh sb="9" eb="11">
      <t>イコウ</t>
    </rPh>
    <rPh sb="12" eb="14">
      <t>ドクリツ</t>
    </rPh>
    <rPh sb="19" eb="21">
      <t>ジッコウ</t>
    </rPh>
    <phoneticPr fontId="1"/>
  </si>
  <si>
    <t>hasroute=1;math|routeX+1</t>
  </si>
  <si>
    <t>；以降の算数計算式、変数＝変数+-*/ decimalで計算</t>
    <rPh sb="1" eb="3">
      <t>イコウ</t>
    </rPh>
    <rPh sb="4" eb="6">
      <t>サンスウ</t>
    </rPh>
    <rPh sb="6" eb="9">
      <t>ケイサンシキ</t>
    </rPh>
    <rPh sb="10" eb="12">
      <t>ヘンスウ</t>
    </rPh>
    <rPh sb="13" eb="15">
      <t>ヘンスウ</t>
    </rPh>
    <rPh sb="28" eb="30">
      <t>ケイサン</t>
    </rPh>
    <phoneticPr fontId="1"/>
  </si>
  <si>
    <t xml:space="preserve">ifvar </t>
    <phoneticPr fontId="1"/>
  </si>
  <si>
    <t>xpathでelementを取得。必要なパラメータ1がvalueから取得</t>
    <rPh sb="14" eb="16">
      <t>シュトク</t>
    </rPh>
    <rPh sb="17" eb="19">
      <t>ヒツヨウ</t>
    </rPh>
    <rPh sb="34" eb="36">
      <t>シュトク</t>
    </rPh>
    <phoneticPr fontId="1"/>
  </si>
  <si>
    <t>ctr,shift,alt</t>
    <phoneticPr fontId="1"/>
  </si>
  <si>
    <t>ctr^, shift+,ALT%.</t>
    <phoneticPr fontId="1"/>
  </si>
  <si>
    <t>参考：</t>
    <phoneticPr fontId="1"/>
  </si>
  <si>
    <t>https://lqwangxg.blogspot.com/2021/03/c-sendkeys.html</t>
    <phoneticPr fontId="1"/>
  </si>
  <si>
    <t>F1-F12,Enter…</t>
    <phoneticPr fontId="1"/>
  </si>
  <si>
    <t>sendkeyの送信内容. {KeyName}</t>
    <rPh sb="8" eb="10">
      <t>ソウシン</t>
    </rPh>
    <rPh sb="10" eb="12">
      <t>ナイヨウ</t>
    </rPh>
    <phoneticPr fontId="1"/>
  </si>
  <si>
    <t>A-Z</t>
    <phoneticPr fontId="1"/>
  </si>
  <si>
    <t>直接入力,</t>
    <rPh sb="0" eb="2">
      <t>チョクセツ</t>
    </rPh>
    <rPh sb="2" eb="4">
      <t>ニュウリョク</t>
    </rPh>
    <phoneticPr fontId="1"/>
  </si>
  <si>
    <t>ABCD</t>
    <phoneticPr fontId="1"/>
  </si>
  <si>
    <t>強制ScreenShot送信sendkeys("%{PRTSC}")</t>
    <rPh sb="0" eb="2">
      <t>キョウセイ</t>
    </rPh>
    <rPh sb="12" eb="14">
      <t>ソウシン</t>
    </rPh>
    <phoneticPr fontId="1"/>
  </si>
  <si>
    <t>%{PRTSC}</t>
  </si>
  <si>
    <t>強制ScreenShot送信しない</t>
    <rPh sb="0" eb="2">
      <t>キョウセイ</t>
    </rPh>
    <rPh sb="12" eb="14">
      <t>ソウシン</t>
    </rPh>
    <phoneticPr fontId="1"/>
  </si>
  <si>
    <t>(空)</t>
    <rPh sb="1" eb="2">
      <t>カラ</t>
    </rPh>
    <phoneticPr fontId="1"/>
  </si>
  <si>
    <t>default設定,グローバル変数shotcmdの設定に従う</t>
    <rPh sb="7" eb="9">
      <t>セッテイ</t>
    </rPh>
    <rPh sb="15" eb="17">
      <t>ヘンスウ</t>
    </rPh>
    <rPh sb="25" eb="27">
      <t>セッテイ</t>
    </rPh>
    <rPh sb="28" eb="29">
      <t>シタガ</t>
    </rPh>
    <phoneticPr fontId="1"/>
  </si>
  <si>
    <t>screenshotの監視command</t>
    <rPh sb="11" eb="13">
      <t>カンシ</t>
    </rPh>
    <phoneticPr fontId="1"/>
  </si>
  <si>
    <t>screenshotの開始STEP位置</t>
    <rPh sb="11" eb="13">
      <t>カイシ</t>
    </rPh>
    <rPh sb="17" eb="19">
      <t>イチ</t>
    </rPh>
    <phoneticPr fontId="1"/>
  </si>
  <si>
    <t>特定処理コマンド</t>
    <rPh sb="0" eb="2">
      <t>トクテイ</t>
    </rPh>
    <rPh sb="2" eb="4">
      <t>ショリ</t>
    </rPh>
    <phoneticPr fontId="1"/>
  </si>
  <si>
    <t>グローバル変数</t>
    <rPh sb="5" eb="7">
      <t>ヘンスウ</t>
    </rPh>
    <phoneticPr fontId="1"/>
  </si>
  <si>
    <t>http://localhost:8080/imart/system/login</t>
    <phoneticPr fontId="1"/>
  </si>
  <si>
    <t>testwebdriver</t>
    <phoneticPr fontId="1"/>
  </si>
  <si>
    <t>runjs</t>
    <phoneticPr fontId="1"/>
  </si>
  <si>
    <t>window.scrollTo(0,368)</t>
    <phoneticPr fontId="1"/>
  </si>
  <si>
    <t>http://18.180.153.74:9084/toyo/login</t>
    <phoneticPr fontId="1"/>
  </si>
  <si>
    <t>id=im_password</t>
    <phoneticPr fontId="1"/>
  </si>
  <si>
    <t>PWD入力</t>
    <rPh sb="3" eb="5">
      <t>ニュウリョク</t>
    </rPh>
    <phoneticPr fontId="1"/>
  </si>
  <si>
    <t>jsを実行</t>
    <rPh sb="3" eb="5">
      <t>ジッコウ</t>
    </rPh>
    <phoneticPr fontId="1"/>
  </si>
  <si>
    <t>mouseover</t>
    <phoneticPr fontId="1"/>
  </si>
  <si>
    <t>linkText=Workflow</t>
  </si>
  <si>
    <t>mouseout</t>
    <phoneticPr fontId="1"/>
  </si>
  <si>
    <t>mouse over event handler</t>
    <phoneticPr fontId="1"/>
  </si>
  <si>
    <t>mouse out event handler</t>
    <phoneticPr fontId="1"/>
  </si>
  <si>
    <t>http://18.180.153.74:9084/toyo/im_workflow/applications/bookmarks?</t>
  </si>
  <si>
    <t>http://18.180.153.74:9084/toyo/im_workflow/applications</t>
  </si>
  <si>
    <t>linktext=【EDP】業務依頼書（本番移行）</t>
    <phoneticPr fontId="1"/>
  </si>
  <si>
    <t>name=transComment</t>
    <phoneticPr fontId="1"/>
  </si>
  <si>
    <t>桃太郎　テスト　２０２１０７０６</t>
    <rPh sb="0" eb="3">
      <t>モモタロウ</t>
    </rPh>
    <phoneticPr fontId="1"/>
  </si>
  <si>
    <t>id=receiptNo1</t>
    <phoneticPr fontId="1"/>
  </si>
  <si>
    <t>Receipt0000000000001</t>
    <phoneticPr fontId="1"/>
  </si>
  <si>
    <t>css=a:nth-child(6) &gt; img</t>
  </si>
  <si>
    <t>css=a b</t>
    <phoneticPr fontId="1"/>
  </si>
  <si>
    <t>css=#btnBack &gt; img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</si>
</sst>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2"/>
      <color theme="1"/>
      <name val="メイリオ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7F878F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3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shrinkToFit="1"/>
    </xf>
    <xf numFmtId="49" fontId="0" fillId="0" borderId="0" xfId="0" applyNumberFormat="1" applyAlignment="1">
      <alignment shrinkToFit="1"/>
    </xf>
    <xf numFmtId="49" fontId="2" fillId="0" borderId="0" xfId="1" applyNumberFormat="1" applyAlignment="1">
      <alignment shrinkToFit="1"/>
    </xf>
    <xf numFmtId="0" fontId="0" fillId="0" borderId="0" xfId="0" applyNumberFormat="1"/>
    <xf numFmtId="0" fontId="0" fillId="4" borderId="0" xfId="0" applyFill="1"/>
    <xf numFmtId="49" fontId="0" fillId="4" borderId="0" xfId="0" applyNumberFormat="1" applyFill="1"/>
    <xf numFmtId="0" fontId="0" fillId="2" borderId="0" xfId="0" applyNumberFormat="1" applyFill="1" applyAlignment="1">
      <alignment shrinkToFit="1"/>
    </xf>
    <xf numFmtId="0" fontId="0" fillId="0" borderId="0" xfId="0" applyNumberFormat="1" applyAlignment="1">
      <alignment shrinkToFit="1"/>
    </xf>
    <xf numFmtId="0" fontId="2" fillId="0" borderId="0" xfId="1" applyNumberFormat="1" applyAlignment="1">
      <alignment shrinkToFit="1"/>
    </xf>
    <xf numFmtId="0" fontId="0" fillId="4" borderId="0" xfId="0" applyNumberFormat="1" applyFill="1" applyAlignment="1">
      <alignment shrinkToFit="1"/>
    </xf>
    <xf numFmtId="49" fontId="0" fillId="5" borderId="0" xfId="0" applyNumberFormat="1" applyFill="1"/>
    <xf numFmtId="49" fontId="0" fillId="5" borderId="0" xfId="0" applyNumberFormat="1" applyFill="1" applyAlignment="1">
      <alignment shrinkToFit="1"/>
    </xf>
    <xf numFmtId="0" fontId="0" fillId="5" borderId="0" xfId="0" applyNumberFormat="1" applyFill="1" applyAlignment="1">
      <alignment shrinkToFit="1"/>
    </xf>
    <xf numFmtId="49" fontId="0" fillId="0" borderId="0" xfId="0" applyNumberFormat="1" applyFill="1"/>
    <xf numFmtId="49" fontId="0" fillId="0" borderId="0" xfId="0" applyNumberFormat="1" applyFill="1" applyAlignment="1">
      <alignment shrinkToFit="1"/>
    </xf>
    <xf numFmtId="0" fontId="0" fillId="0" borderId="0" xfId="0" applyNumberFormat="1" applyFill="1" applyAlignment="1">
      <alignment shrinkToFit="1"/>
    </xf>
    <xf numFmtId="0" fontId="0" fillId="2" borderId="0" xfId="0" applyFill="1"/>
    <xf numFmtId="49" fontId="4" fillId="6" borderId="2" xfId="0" applyNumberFormat="1" applyFont="1" applyFill="1" applyBorder="1" applyAlignment="1">
      <alignment horizontal="left" vertical="center" wrapText="1"/>
    </xf>
    <xf numFmtId="49" fontId="0" fillId="0" borderId="2" xfId="0" applyNumberFormat="1" applyBorder="1" applyAlignment="1">
      <alignment vertical="center"/>
    </xf>
    <xf numFmtId="1" fontId="0" fillId="0" borderId="2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49" fontId="2" fillId="0" borderId="0" xfId="1" applyNumberFormat="1"/>
    <xf numFmtId="49" fontId="0" fillId="7" borderId="0" xfId="0" applyNumberFormat="1" applyFill="1"/>
    <xf numFmtId="49" fontId="0" fillId="7" borderId="0" xfId="0" applyNumberFormat="1" applyFill="1" applyAlignment="1">
      <alignment shrinkToFit="1"/>
    </xf>
    <xf numFmtId="0" fontId="0" fillId="7" borderId="0" xfId="0" applyNumberFormat="1" applyFill="1" applyAlignment="1">
      <alignment shrinkToFit="1"/>
    </xf>
    <xf numFmtId="0" fontId="7" fillId="0" borderId="2" xfId="0" applyFont="1" applyBorder="1" applyAlignment="1">
      <alignment vertical="center"/>
    </xf>
    <xf numFmtId="49" fontId="0" fillId="0" borderId="0" xfId="0" applyNumberFormat="1" applyAlignment="1">
      <alignment wrapText="1" shrinkToFit="1"/>
    </xf>
    <xf numFmtId="49" fontId="0" fillId="7" borderId="0" xfId="0" applyNumberFormat="1" applyFill="1" applyAlignment="1">
      <alignment wrapText="1" shrinkToFit="1"/>
    </xf>
    <xf numFmtId="49" fontId="0" fillId="0" borderId="0" xfId="0" applyNumberFormat="1" applyFill="1" applyAlignment="1">
      <alignment wrapText="1" shrinkToFit="1"/>
    </xf>
    <xf numFmtId="0" fontId="0" fillId="0" borderId="0" xfId="0" applyAlignment="1">
      <alignment shrinkToFit="1"/>
    </xf>
    <xf numFmtId="0" fontId="3" fillId="2" borderId="1" xfId="0" applyFont="1" applyFill="1" applyBorder="1"/>
    <xf numFmtId="0" fontId="0" fillId="2" borderId="0" xfId="0" applyFill="1" applyAlignment="1">
      <alignment shrinkToFit="1"/>
    </xf>
    <xf numFmtId="0" fontId="3" fillId="8" borderId="1" xfId="0" applyFont="1" applyFill="1" applyBorder="1"/>
    <xf numFmtId="0" fontId="0" fillId="5" borderId="0" xfId="0" applyFill="1"/>
    <xf numFmtId="49" fontId="8" fillId="2" borderId="0" xfId="0" applyNumberFormat="1" applyFont="1" applyFill="1"/>
    <xf numFmtId="0" fontId="2" fillId="0" borderId="0" xfId="1"/>
    <xf numFmtId="0" fontId="8" fillId="0" borderId="0" xfId="0" applyFont="1"/>
  </cellXfs>
  <cellStyles count="2">
    <cellStyle name="ハイパーリンク" xfId="1" builtinId="8"/>
    <cellStyle name="標準" xfId="0" builtinId="0"/>
  </cellStyles>
  <dxfs count="70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63136</xdr:colOff>
          <xdr:row>1</xdr:row>
          <xdr:rowOff>17416</xdr:rowOff>
        </xdr:from>
        <xdr:to>
          <xdr:col>5</xdr:col>
          <xdr:colOff>1676400</xdr:colOff>
          <xdr:row>3</xdr:row>
          <xdr:rowOff>141513</xdr:rowOff>
        </xdr:to>
        <xdr:sp macro="" textlink="">
          <xdr:nvSpPr>
            <xdr:cNvPr id="4099" name="btnRu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A77FE8FF-08DF-4C94-B228-F888EE08F9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1554480</xdr:colOff>
          <xdr:row>1</xdr:row>
          <xdr:rowOff>60960</xdr:rowOff>
        </xdr:from>
        <xdr:to>
          <xdr:col>2</xdr:col>
          <xdr:colOff>2674620</xdr:colOff>
          <xdr:row>2</xdr:row>
          <xdr:rowOff>182880</xdr:rowOff>
        </xdr:to>
        <xdr:sp macro="" textlink="">
          <xdr:nvSpPr>
            <xdr:cNvPr id="11265" name="btnExportYML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ool\im-convoy-macro\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メイン画面"/>
      <sheetName val="動作確認結果"/>
      <sheetName val="Sheet1"/>
    </sheetNames>
    <sheetDataSet>
      <sheetData sheetId="0">
        <row r="1">
          <cell r="B1" t="str">
            <v>wztest.com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11</v>
          </cell>
        </row>
        <row r="8">
          <cell r="B8" t="str">
            <v>はい</v>
          </cell>
        </row>
      </sheetData>
      <sheetData sheetId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8.180.153.74:9084/toyo/login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lqwangxg.blogspot.com/2021/03/c-sendkeys.html" TargetMode="External"/><Relationship Id="rId1" Type="http://schemas.openxmlformats.org/officeDocument/2006/relationships/hyperlink" Target="http://www.google.com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printerSettings" Target="../printerSettings/printerSettings4.bin"/><Relationship Id="rId11" Type="http://schemas.openxmlformats.org/officeDocument/2006/relationships/comments" Target="../comments4.xml"/><Relationship Id="rId5" Type="http://schemas.openxmlformats.org/officeDocument/2006/relationships/hyperlink" Target="http://localhost:8080/imart/system/login" TargetMode="External"/><Relationship Id="rId10" Type="http://schemas.openxmlformats.org/officeDocument/2006/relationships/image" Target="../media/image2.emf"/><Relationship Id="rId4" Type="http://schemas.openxmlformats.org/officeDocument/2006/relationships/hyperlink" Target="http://localhost:8080/imart/menu/common/iframe_sender?menuId=im_bpw_consented" TargetMode="External"/><Relationship Id="rId9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F27"/>
  <sheetViews>
    <sheetView tabSelected="1" zoomScale="70" zoomScaleNormal="7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K12" sqref="K12"/>
    </sheetView>
  </sheetViews>
  <sheetFormatPr defaultRowHeight="18"/>
  <cols>
    <col min="1" max="1" width="13.8984375" customWidth="1"/>
    <col min="2" max="2" width="11.59765625" style="2" customWidth="1"/>
    <col min="3" max="3" width="38.8984375" style="2" customWidth="1"/>
    <col min="4" max="4" width="45.3984375" style="11" customWidth="1"/>
    <col min="5" max="5" width="8.5" style="2" customWidth="1"/>
    <col min="6" max="6" width="24.5" customWidth="1"/>
  </cols>
  <sheetData>
    <row r="1" spans="1:6">
      <c r="A1" s="8" t="s">
        <v>19</v>
      </c>
      <c r="B1" s="9"/>
      <c r="C1" s="9"/>
      <c r="D1" s="13" t="s">
        <v>68</v>
      </c>
      <c r="E1" s="9" t="s">
        <v>69</v>
      </c>
      <c r="F1" s="2">
        <f>COUNTA(B:B)-9</f>
        <v>12</v>
      </c>
    </row>
    <row r="2" spans="1:6" ht="19.2">
      <c r="A2" s="20" t="s">
        <v>21</v>
      </c>
      <c r="B2" s="2" t="s">
        <v>123</v>
      </c>
      <c r="C2" s="7" t="str">
        <f>"# 処理待ち時間: "&amp;(B2/1000) &amp;"秒"</f>
        <v># 処理待ち時間: 0.5秒</v>
      </c>
      <c r="D2" s="36" t="s">
        <v>266</v>
      </c>
      <c r="E2" s="2" t="s">
        <v>70</v>
      </c>
    </row>
    <row r="3" spans="1:6">
      <c r="A3" s="20" t="s">
        <v>136</v>
      </c>
      <c r="B3" s="2" t="s">
        <v>152</v>
      </c>
      <c r="C3" t="s">
        <v>261</v>
      </c>
      <c r="D3" s="11" t="str">
        <f ca="1">D2&amp;TEXT(NOW(),"YYYYMMDDHHmmss")</f>
        <v>testwebdriver20210706130728</v>
      </c>
    </row>
    <row r="4" spans="1:6">
      <c r="A4" s="20" t="s">
        <v>89</v>
      </c>
      <c r="B4" s="2" t="s">
        <v>137</v>
      </c>
      <c r="C4" t="s">
        <v>262</v>
      </c>
    </row>
    <row r="5" spans="1:6" hidden="1"/>
    <row r="6" spans="1:6" hidden="1">
      <c r="A6" s="1"/>
    </row>
    <row r="7" spans="1:6" hidden="1">
      <c r="A7" s="1"/>
    </row>
    <row r="8" spans="1:6" hidden="1">
      <c r="A8" s="1"/>
    </row>
    <row r="9" spans="1:6">
      <c r="A9" s="8" t="s">
        <v>20</v>
      </c>
      <c r="B9" s="9"/>
      <c r="C9" s="9"/>
      <c r="D9" s="13"/>
      <c r="E9" s="9"/>
      <c r="F9" s="9"/>
    </row>
    <row r="10" spans="1:6">
      <c r="A10" s="1" t="s">
        <v>22</v>
      </c>
      <c r="B10" s="3" t="s">
        <v>15</v>
      </c>
      <c r="C10" s="4" t="s">
        <v>16</v>
      </c>
      <c r="D10" s="10" t="s">
        <v>38</v>
      </c>
      <c r="E10" s="4" t="s">
        <v>116</v>
      </c>
      <c r="F10" s="4" t="s">
        <v>17</v>
      </c>
    </row>
    <row r="11" spans="1:6">
      <c r="A11" t="str">
        <f>"step"&amp;ROW()-10</f>
        <v>step1</v>
      </c>
      <c r="B11" s="2" t="s">
        <v>91</v>
      </c>
      <c r="C11" s="5" t="s">
        <v>94</v>
      </c>
      <c r="D11" s="11">
        <v>1</v>
      </c>
      <c r="E11" s="5"/>
      <c r="F11" s="5"/>
    </row>
    <row r="12" spans="1:6">
      <c r="A12" t="str">
        <f t="shared" ref="A12:A19" si="0">"step"&amp;ROW()-10</f>
        <v>step2</v>
      </c>
      <c r="B12" s="2" t="s">
        <v>1</v>
      </c>
      <c r="C12" s="6" t="s">
        <v>269</v>
      </c>
      <c r="E12" s="5"/>
      <c r="F12" s="5" t="s">
        <v>51</v>
      </c>
    </row>
    <row r="13" spans="1:6">
      <c r="A13" t="str">
        <f t="shared" si="0"/>
        <v>step3</v>
      </c>
      <c r="B13" s="2" t="s">
        <v>3</v>
      </c>
      <c r="C13" s="5" t="s">
        <v>4</v>
      </c>
      <c r="D13" s="11" t="s">
        <v>73</v>
      </c>
      <c r="E13" s="5"/>
      <c r="F13" s="5"/>
    </row>
    <row r="14" spans="1:6">
      <c r="A14" t="str">
        <f t="shared" si="0"/>
        <v>step4</v>
      </c>
      <c r="B14" s="2" t="s">
        <v>81</v>
      </c>
      <c r="C14" s="5" t="s">
        <v>23</v>
      </c>
      <c r="D14" s="11" t="s">
        <v>39</v>
      </c>
      <c r="E14" s="5"/>
      <c r="F14" s="5" t="s">
        <v>52</v>
      </c>
    </row>
    <row r="15" spans="1:6">
      <c r="A15" t="str">
        <f t="shared" si="0"/>
        <v>step5</v>
      </c>
      <c r="B15" s="2" t="s">
        <v>74</v>
      </c>
      <c r="C15" s="5" t="s">
        <v>270</v>
      </c>
      <c r="E15" s="5"/>
      <c r="F15" s="5" t="s">
        <v>271</v>
      </c>
    </row>
    <row r="16" spans="1:6">
      <c r="A16" t="str">
        <f t="shared" si="0"/>
        <v>step6</v>
      </c>
      <c r="B16" s="2" t="s">
        <v>96</v>
      </c>
      <c r="C16" s="5"/>
      <c r="D16" s="11">
        <v>1000</v>
      </c>
      <c r="E16" s="5"/>
      <c r="F16" s="5"/>
    </row>
    <row r="17" spans="1:6">
      <c r="A17" t="str">
        <f t="shared" si="0"/>
        <v>step7</v>
      </c>
      <c r="B17" s="2" t="s">
        <v>6</v>
      </c>
      <c r="C17" s="2" t="s">
        <v>7</v>
      </c>
      <c r="F17" s="2"/>
    </row>
    <row r="18" spans="1:6">
      <c r="A18" t="str">
        <f t="shared" si="0"/>
        <v>step8</v>
      </c>
      <c r="B18" s="2" t="s">
        <v>1</v>
      </c>
      <c r="C18" s="2" t="s">
        <v>278</v>
      </c>
    </row>
    <row r="19" spans="1:6">
      <c r="A19" t="str">
        <f t="shared" si="0"/>
        <v>step9</v>
      </c>
      <c r="B19" s="2" t="s">
        <v>1</v>
      </c>
      <c r="C19" s="2" t="s">
        <v>279</v>
      </c>
    </row>
    <row r="20" spans="1:6">
      <c r="B20" s="2" t="s">
        <v>6</v>
      </c>
      <c r="C20" s="2" t="s">
        <v>280</v>
      </c>
    </row>
    <row r="21" spans="1:6">
      <c r="B21" s="2" t="s">
        <v>74</v>
      </c>
      <c r="C21" s="2" t="s">
        <v>281</v>
      </c>
      <c r="D21" s="11" t="s">
        <v>282</v>
      </c>
    </row>
    <row r="22" spans="1:6">
      <c r="B22" s="2" t="s">
        <v>74</v>
      </c>
      <c r="C22" s="2" t="s">
        <v>283</v>
      </c>
      <c r="D22" s="11" t="s">
        <v>284</v>
      </c>
    </row>
    <row r="23" spans="1:6">
      <c r="B23" s="2" t="s">
        <v>6</v>
      </c>
      <c r="C23" s="2" t="s">
        <v>285</v>
      </c>
    </row>
    <row r="24" spans="1:6">
      <c r="B24" s="2" t="s">
        <v>6</v>
      </c>
      <c r="C24" s="2" t="s">
        <v>286</v>
      </c>
    </row>
    <row r="25" spans="1:6">
      <c r="B25" s="2" t="s">
        <v>6</v>
      </c>
      <c r="C25" s="2" t="s">
        <v>287</v>
      </c>
    </row>
    <row r="26" spans="1:6">
      <c r="B26" s="2" t="s">
        <v>64</v>
      </c>
      <c r="D26" s="11">
        <v>1</v>
      </c>
      <c r="E26" s="2" t="s">
        <v>41</v>
      </c>
    </row>
    <row r="27" spans="1:6">
      <c r="B27" s="2" t="s">
        <v>86</v>
      </c>
    </row>
  </sheetData>
  <phoneticPr fontId="1"/>
  <conditionalFormatting sqref="B11:F14 B16:F17 B18:E18 B26:E26 C19:E21 C24:E24 E22">
    <cfRule type="expression" dxfId="704" priority="1784">
      <formula>$B11="popup"</formula>
    </cfRule>
    <cfRule type="expression" dxfId="703" priority="1825">
      <formula>$B11="switchTo"</formula>
    </cfRule>
    <cfRule type="expression" dxfId="702" priority="1826">
      <formula>$B11="wait"</formula>
    </cfRule>
  </conditionalFormatting>
  <conditionalFormatting sqref="B11:F14 B16:F17 B18:E18 B26:E112 C19:E21 C24:E24 E22">
    <cfRule type="expression" dxfId="701" priority="1425">
      <formula>$B11="label"</formula>
    </cfRule>
  </conditionalFormatting>
  <conditionalFormatting sqref="B15:F15">
    <cfRule type="expression" dxfId="700" priority="34">
      <formula>$B15="popup"</formula>
    </cfRule>
    <cfRule type="expression" dxfId="699" priority="35">
      <formula>$B15="switchTo"</formula>
    </cfRule>
    <cfRule type="expression" dxfId="698" priority="36">
      <formula>$B15="wait"</formula>
    </cfRule>
  </conditionalFormatting>
  <conditionalFormatting sqref="B15:F15">
    <cfRule type="expression" dxfId="697" priority="33">
      <formula>$B15="label"</formula>
    </cfRule>
  </conditionalFormatting>
  <conditionalFormatting sqref="B19:B21 B24">
    <cfRule type="expression" dxfId="696" priority="26">
      <formula>$B19="popup"</formula>
    </cfRule>
    <cfRule type="expression" dxfId="695" priority="27">
      <formula>$B19="switchTo"</formula>
    </cfRule>
    <cfRule type="expression" dxfId="694" priority="28">
      <formula>$B19="wait"</formula>
    </cfRule>
  </conditionalFormatting>
  <conditionalFormatting sqref="B19:B21 B24">
    <cfRule type="expression" dxfId="693" priority="25">
      <formula>$B19="label"</formula>
    </cfRule>
  </conditionalFormatting>
  <conditionalFormatting sqref="C22:D22">
    <cfRule type="expression" dxfId="692" priority="22">
      <formula>$B22="popup"</formula>
    </cfRule>
    <cfRule type="expression" dxfId="691" priority="23">
      <formula>$B22="switchTo"</formula>
    </cfRule>
    <cfRule type="expression" dxfId="690" priority="24">
      <formula>$B22="wait"</formula>
    </cfRule>
  </conditionalFormatting>
  <conditionalFormatting sqref="C22:D22">
    <cfRule type="expression" dxfId="689" priority="21">
      <formula>$B22="label"</formula>
    </cfRule>
  </conditionalFormatting>
  <conditionalFormatting sqref="B22">
    <cfRule type="expression" dxfId="688" priority="18">
      <formula>$B22="popup"</formula>
    </cfRule>
    <cfRule type="expression" dxfId="687" priority="19">
      <formula>$B22="switchTo"</formula>
    </cfRule>
    <cfRule type="expression" dxfId="686" priority="20">
      <formula>$B22="wait"</formula>
    </cfRule>
  </conditionalFormatting>
  <conditionalFormatting sqref="B22">
    <cfRule type="expression" dxfId="685" priority="17">
      <formula>$B22="label"</formula>
    </cfRule>
  </conditionalFormatting>
  <conditionalFormatting sqref="C23:E23">
    <cfRule type="expression" dxfId="684" priority="14">
      <formula>$B23="popup"</formula>
    </cfRule>
    <cfRule type="expression" dxfId="683" priority="15">
      <formula>$B23="switchTo"</formula>
    </cfRule>
    <cfRule type="expression" dxfId="682" priority="16">
      <formula>$B23="wait"</formula>
    </cfRule>
  </conditionalFormatting>
  <conditionalFormatting sqref="C23:E23">
    <cfRule type="expression" dxfId="681" priority="13">
      <formula>$B23="label"</formula>
    </cfRule>
  </conditionalFormatting>
  <conditionalFormatting sqref="B23">
    <cfRule type="expression" dxfId="680" priority="10">
      <formula>$B23="popup"</formula>
    </cfRule>
    <cfRule type="expression" dxfId="679" priority="11">
      <formula>$B23="switchTo"</formula>
    </cfRule>
    <cfRule type="expression" dxfId="678" priority="12">
      <formula>$B23="wait"</formula>
    </cfRule>
  </conditionalFormatting>
  <conditionalFormatting sqref="B23">
    <cfRule type="expression" dxfId="677" priority="9">
      <formula>$B23="label"</formula>
    </cfRule>
  </conditionalFormatting>
  <conditionalFormatting sqref="C25:E25">
    <cfRule type="expression" dxfId="676" priority="6">
      <formula>$B25="popup"</formula>
    </cfRule>
    <cfRule type="expression" dxfId="675" priority="7">
      <formula>$B25="switchTo"</formula>
    </cfRule>
    <cfRule type="expression" dxfId="674" priority="8">
      <formula>$B25="wait"</formula>
    </cfRule>
  </conditionalFormatting>
  <conditionalFormatting sqref="C25:E25">
    <cfRule type="expression" dxfId="673" priority="5">
      <formula>$B25="label"</formula>
    </cfRule>
  </conditionalFormatting>
  <conditionalFormatting sqref="B25">
    <cfRule type="expression" dxfId="672" priority="2">
      <formula>$B25="popup"</formula>
    </cfRule>
    <cfRule type="expression" dxfId="671" priority="3">
      <formula>$B25="switchTo"</formula>
    </cfRule>
    <cfRule type="expression" dxfId="670" priority="4">
      <formula>$B25="wait"</formula>
    </cfRule>
  </conditionalFormatting>
  <conditionalFormatting sqref="B25">
    <cfRule type="expression" dxfId="669" priority="1">
      <formula>$B25="label"</formula>
    </cfRule>
  </conditionalFormatting>
  <hyperlinks>
    <hyperlink ref="C12" r:id="rId1" xr:uid="{2A2A0ADE-763C-4407-A3A1-83B5DB0BC559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9" r:id="rId5" name="btnRun">
          <controlPr defaultSize="0" autoLine="0" autoPict="0" r:id="rId6">
            <anchor moveWithCells="1">
              <from>
                <xdr:col>5</xdr:col>
                <xdr:colOff>60960</xdr:colOff>
                <xdr:row>1</xdr:row>
                <xdr:rowOff>15240</xdr:rowOff>
              </from>
              <to>
                <xdr:col>5</xdr:col>
                <xdr:colOff>1676400</xdr:colOff>
                <xdr:row>3</xdr:row>
                <xdr:rowOff>144780</xdr:rowOff>
              </to>
            </anchor>
          </controlPr>
        </control>
      </mc:Choice>
      <mc:Fallback>
        <control shapeId="4099" r:id="rId5" name="btn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37"/>
  <sheetViews>
    <sheetView zoomScale="85" zoomScaleNormal="85" workbookViewId="0">
      <selection activeCell="C18" sqref="C18"/>
    </sheetView>
  </sheetViews>
  <sheetFormatPr defaultRowHeight="18"/>
  <cols>
    <col min="1" max="1" width="9.3984375" bestFit="1" customWidth="1"/>
    <col min="3" max="3" width="24.69921875" customWidth="1"/>
    <col min="4" max="4" width="33.59765625" style="33" customWidth="1"/>
    <col min="5" max="5" width="9.8984375" customWidth="1"/>
    <col min="7" max="7" width="20.59765625" customWidth="1"/>
  </cols>
  <sheetData>
    <row r="1" spans="1:10" ht="36">
      <c r="A1" s="2">
        <f>COUNTA(B:B)-1</f>
        <v>36</v>
      </c>
      <c r="B1" s="3" t="s">
        <v>15</v>
      </c>
      <c r="C1" s="34" t="s">
        <v>143</v>
      </c>
      <c r="D1" s="35" t="str">
        <f ca="1">_xll.ReplaceMatch(main!D3,"\s+","")</f>
        <v>testwebdriver20210706130728</v>
      </c>
      <c r="E1" s="4" t="s">
        <v>116</v>
      </c>
      <c r="F1" s="4" t="s">
        <v>17</v>
      </c>
      <c r="G1" s="21" t="s">
        <v>82</v>
      </c>
      <c r="H1" s="21" t="s">
        <v>138</v>
      </c>
      <c r="I1" s="21" t="s">
        <v>120</v>
      </c>
      <c r="J1" s="21" t="s">
        <v>141</v>
      </c>
    </row>
    <row r="2" spans="1:10">
      <c r="B2" s="17" t="s">
        <v>6</v>
      </c>
      <c r="C2" s="18" t="s">
        <v>145</v>
      </c>
      <c r="D2" s="33" t="str">
        <f t="shared" ref="D2" si="0">IF(OR(H2="02",H2="03"),LEFT($D$1&amp;"-TEST00000000000000000000000",I2),IF(H2="04",ROW(),IF(H2="06",G2,"")))</f>
        <v>5hxa7z32d6tlse9</v>
      </c>
      <c r="G2" s="22" t="s">
        <v>193</v>
      </c>
      <c r="H2" s="22" t="s">
        <v>144</v>
      </c>
      <c r="I2" s="29" t="s">
        <v>121</v>
      </c>
      <c r="J2" s="29" t="s">
        <v>121</v>
      </c>
    </row>
    <row r="3" spans="1:10">
      <c r="B3" s="24" t="s">
        <v>74</v>
      </c>
      <c r="C3" t="str">
        <f t="shared" ref="C3" si="1">"id="&amp;G3</f>
        <v>id=price1</v>
      </c>
      <c r="D3" s="33">
        <f t="shared" ref="D3" si="2">IF(OR(H3="02", H3="03"),LEFT($D$1&amp;"-TEST00000000000000000000000",I3),IF(H3="04",ROW(),""))</f>
        <v>3</v>
      </c>
      <c r="G3" s="22" t="s">
        <v>184</v>
      </c>
      <c r="H3" s="22" t="s">
        <v>140</v>
      </c>
      <c r="I3" s="23">
        <v>10</v>
      </c>
      <c r="J3" s="23">
        <v>2</v>
      </c>
    </row>
    <row r="4" spans="1:10">
      <c r="B4" s="24" t="s">
        <v>74</v>
      </c>
      <c r="C4" t="str">
        <f t="shared" ref="C4:C6" si="3">"id="&amp;G4</f>
        <v>id=price10</v>
      </c>
      <c r="D4" s="33">
        <f t="shared" ref="D4:D6" si="4">IF(OR(H4="02", H4="03"),LEFT($D$1&amp;"-TEST00000000000000000000000",I4),IF(H4="04",ROW(),""))</f>
        <v>4</v>
      </c>
      <c r="G4" s="22" t="s">
        <v>183</v>
      </c>
      <c r="H4" s="22" t="s">
        <v>140</v>
      </c>
      <c r="I4" s="23">
        <v>10</v>
      </c>
      <c r="J4" s="23">
        <v>2</v>
      </c>
    </row>
    <row r="5" spans="1:10">
      <c r="B5" s="24" t="s">
        <v>74</v>
      </c>
      <c r="C5" t="str">
        <f t="shared" si="3"/>
        <v>id=price2</v>
      </c>
      <c r="D5" s="33">
        <f t="shared" si="4"/>
        <v>5</v>
      </c>
      <c r="G5" s="22" t="s">
        <v>192</v>
      </c>
      <c r="H5" s="22" t="s">
        <v>140</v>
      </c>
      <c r="I5" s="23">
        <v>10</v>
      </c>
      <c r="J5" s="23">
        <v>2</v>
      </c>
    </row>
    <row r="6" spans="1:10">
      <c r="B6" s="24" t="s">
        <v>74</v>
      </c>
      <c r="C6" t="str">
        <f t="shared" si="3"/>
        <v>id=price3</v>
      </c>
      <c r="D6" s="33">
        <f t="shared" si="4"/>
        <v>6</v>
      </c>
      <c r="G6" s="22" t="s">
        <v>191</v>
      </c>
      <c r="H6" s="22" t="s">
        <v>140</v>
      </c>
      <c r="I6" s="23">
        <v>10</v>
      </c>
      <c r="J6" s="23">
        <v>2</v>
      </c>
    </row>
    <row r="7" spans="1:10">
      <c r="B7" s="24" t="s">
        <v>74</v>
      </c>
      <c r="C7" t="str">
        <f t="shared" ref="C7:C9" si="5">"id="&amp;G7</f>
        <v>id=price4</v>
      </c>
      <c r="D7" s="33">
        <f>IF(OR(H7="02", H7="03"),LEFT($D$1&amp;"-TEST00000000000000000000000",I7),IF(H7="04",ROW()-7,""))</f>
        <v>0</v>
      </c>
      <c r="G7" s="22" t="s">
        <v>190</v>
      </c>
      <c r="H7" s="22" t="s">
        <v>140</v>
      </c>
      <c r="I7" s="23">
        <v>10</v>
      </c>
      <c r="J7" s="23">
        <v>2</v>
      </c>
    </row>
    <row r="8" spans="1:10">
      <c r="B8" s="24" t="s">
        <v>74</v>
      </c>
      <c r="C8" t="str">
        <f t="shared" si="5"/>
        <v>id=price5</v>
      </c>
      <c r="D8" s="33">
        <f t="shared" ref="D8:D9" si="6">IF(OR(H8="02", H8="03"),LEFT($D$1&amp;"-TEST00000000000000000000000",I8),IF(H8="04",ROW()-7,""))</f>
        <v>1</v>
      </c>
      <c r="G8" s="22" t="s">
        <v>189</v>
      </c>
      <c r="H8" s="22" t="s">
        <v>140</v>
      </c>
      <c r="I8" s="23">
        <v>10</v>
      </c>
      <c r="J8" s="23">
        <v>2</v>
      </c>
    </row>
    <row r="9" spans="1:10">
      <c r="B9" s="24" t="s">
        <v>74</v>
      </c>
      <c r="C9" t="str">
        <f t="shared" si="5"/>
        <v>id=price6</v>
      </c>
      <c r="D9" s="33">
        <f t="shared" si="6"/>
        <v>2</v>
      </c>
      <c r="G9" s="22" t="s">
        <v>188</v>
      </c>
      <c r="H9" s="22" t="s">
        <v>140</v>
      </c>
      <c r="I9" s="23">
        <v>10</v>
      </c>
      <c r="J9" s="23">
        <v>2</v>
      </c>
    </row>
    <row r="10" spans="1:10">
      <c r="B10" s="24" t="s">
        <v>74</v>
      </c>
      <c r="C10" t="str">
        <f t="shared" ref="C10:C37" si="7">"id="&amp;G10</f>
        <v>id=price7</v>
      </c>
      <c r="D10" s="33">
        <f t="shared" ref="D10:D37" si="8">IF(OR(H10="02", H10="03"),LEFT($D$1&amp;"-TEST00000000000000000000000",I10),IF(H10="04",ROW()-7,""))</f>
        <v>3</v>
      </c>
      <c r="G10" s="22" t="s">
        <v>187</v>
      </c>
      <c r="H10" s="22" t="s">
        <v>140</v>
      </c>
      <c r="I10" s="23">
        <v>10</v>
      </c>
      <c r="J10" s="23">
        <v>2</v>
      </c>
    </row>
    <row r="11" spans="1:10">
      <c r="B11" s="24" t="s">
        <v>74</v>
      </c>
      <c r="C11" t="str">
        <f t="shared" si="7"/>
        <v>id=price8</v>
      </c>
      <c r="D11" s="33">
        <f t="shared" si="8"/>
        <v>4</v>
      </c>
      <c r="G11" s="22" t="s">
        <v>186</v>
      </c>
      <c r="H11" s="22" t="s">
        <v>140</v>
      </c>
      <c r="I11" s="23">
        <v>10</v>
      </c>
      <c r="J11" s="23">
        <v>2</v>
      </c>
    </row>
    <row r="12" spans="1:10">
      <c r="B12" s="24" t="s">
        <v>74</v>
      </c>
      <c r="C12" t="str">
        <f t="shared" si="7"/>
        <v>id=price9</v>
      </c>
      <c r="D12" s="33">
        <f t="shared" si="8"/>
        <v>5</v>
      </c>
      <c r="G12" s="22" t="s">
        <v>185</v>
      </c>
      <c r="H12" s="22" t="s">
        <v>140</v>
      </c>
      <c r="I12" s="23">
        <v>10</v>
      </c>
      <c r="J12" s="23">
        <v>2</v>
      </c>
    </row>
    <row r="13" spans="1:10">
      <c r="B13" s="24" t="s">
        <v>74</v>
      </c>
      <c r="C13" t="str">
        <f t="shared" si="7"/>
        <v>id=qty1</v>
      </c>
      <c r="D13" s="33">
        <f t="shared" si="8"/>
        <v>6</v>
      </c>
      <c r="G13" s="22" t="s">
        <v>167</v>
      </c>
      <c r="H13" s="22" t="s">
        <v>140</v>
      </c>
      <c r="I13" s="23">
        <v>10</v>
      </c>
      <c r="J13" s="23">
        <v>2</v>
      </c>
    </row>
    <row r="14" spans="1:10">
      <c r="B14" s="24" t="s">
        <v>74</v>
      </c>
      <c r="C14" t="str">
        <f t="shared" si="7"/>
        <v>id=qty10</v>
      </c>
      <c r="D14" s="33">
        <f t="shared" si="8"/>
        <v>7</v>
      </c>
      <c r="G14" s="22" t="s">
        <v>159</v>
      </c>
      <c r="H14" s="22" t="s">
        <v>140</v>
      </c>
      <c r="I14" s="23">
        <v>10</v>
      </c>
      <c r="J14" s="23">
        <v>2</v>
      </c>
    </row>
    <row r="15" spans="1:10">
      <c r="B15" s="24" t="s">
        <v>74</v>
      </c>
      <c r="C15" t="str">
        <f t="shared" si="7"/>
        <v>id=qty2</v>
      </c>
      <c r="D15" s="33">
        <f t="shared" si="8"/>
        <v>8</v>
      </c>
      <c r="G15" s="22" t="s">
        <v>166</v>
      </c>
      <c r="H15" s="22" t="s">
        <v>140</v>
      </c>
      <c r="I15" s="23">
        <v>10</v>
      </c>
      <c r="J15" s="23">
        <v>2</v>
      </c>
    </row>
    <row r="16" spans="1:10">
      <c r="B16" s="24" t="s">
        <v>74</v>
      </c>
      <c r="C16" t="str">
        <f t="shared" si="7"/>
        <v>id=qty3</v>
      </c>
      <c r="D16" s="33">
        <f t="shared" si="8"/>
        <v>9</v>
      </c>
      <c r="G16" s="22" t="s">
        <v>158</v>
      </c>
      <c r="H16" s="22" t="s">
        <v>140</v>
      </c>
      <c r="I16" s="23">
        <v>10</v>
      </c>
      <c r="J16" s="23">
        <v>2</v>
      </c>
    </row>
    <row r="17" spans="2:10">
      <c r="B17" s="24" t="s">
        <v>74</v>
      </c>
      <c r="C17" t="str">
        <f t="shared" si="7"/>
        <v>id=qty4</v>
      </c>
      <c r="D17" s="33">
        <f t="shared" si="8"/>
        <v>10</v>
      </c>
      <c r="G17" s="22" t="s">
        <v>165</v>
      </c>
      <c r="H17" s="22" t="s">
        <v>140</v>
      </c>
      <c r="I17" s="23">
        <v>10</v>
      </c>
      <c r="J17" s="23">
        <v>2</v>
      </c>
    </row>
    <row r="18" spans="2:10">
      <c r="B18" s="24" t="s">
        <v>74</v>
      </c>
      <c r="C18" t="str">
        <f t="shared" si="7"/>
        <v>id=qty5</v>
      </c>
      <c r="D18" s="33">
        <f t="shared" si="8"/>
        <v>11</v>
      </c>
      <c r="G18" s="22" t="s">
        <v>164</v>
      </c>
      <c r="H18" s="22" t="s">
        <v>140</v>
      </c>
      <c r="I18" s="23">
        <v>10</v>
      </c>
      <c r="J18" s="23">
        <v>2</v>
      </c>
    </row>
    <row r="19" spans="2:10">
      <c r="B19" s="24" t="s">
        <v>74</v>
      </c>
      <c r="C19" t="str">
        <f t="shared" si="7"/>
        <v>id=qty6</v>
      </c>
      <c r="D19" s="33">
        <f t="shared" si="8"/>
        <v>12</v>
      </c>
      <c r="G19" s="22" t="s">
        <v>163</v>
      </c>
      <c r="H19" s="22" t="s">
        <v>140</v>
      </c>
      <c r="I19" s="23">
        <v>10</v>
      </c>
      <c r="J19" s="23">
        <v>2</v>
      </c>
    </row>
    <row r="20" spans="2:10">
      <c r="B20" s="24" t="s">
        <v>74</v>
      </c>
      <c r="C20" t="str">
        <f t="shared" si="7"/>
        <v>id=qty7</v>
      </c>
      <c r="D20" s="33">
        <f t="shared" si="8"/>
        <v>13</v>
      </c>
      <c r="G20" s="22" t="s">
        <v>162</v>
      </c>
      <c r="H20" s="22" t="s">
        <v>140</v>
      </c>
      <c r="I20" s="23">
        <v>10</v>
      </c>
      <c r="J20" s="23">
        <v>2</v>
      </c>
    </row>
    <row r="21" spans="2:10">
      <c r="B21" s="24" t="s">
        <v>74</v>
      </c>
      <c r="C21" t="str">
        <f t="shared" si="7"/>
        <v>id=qty8</v>
      </c>
      <c r="D21" s="33">
        <f t="shared" si="8"/>
        <v>14</v>
      </c>
      <c r="G21" s="22" t="s">
        <v>161</v>
      </c>
      <c r="H21" s="22" t="s">
        <v>140</v>
      </c>
      <c r="I21" s="23">
        <v>10</v>
      </c>
      <c r="J21" s="23">
        <v>2</v>
      </c>
    </row>
    <row r="22" spans="2:10">
      <c r="B22" s="24" t="s">
        <v>74</v>
      </c>
      <c r="C22" t="str">
        <f t="shared" si="7"/>
        <v>id=qty9</v>
      </c>
      <c r="D22" s="33">
        <f t="shared" si="8"/>
        <v>15</v>
      </c>
      <c r="G22" s="22" t="s">
        <v>160</v>
      </c>
      <c r="H22" s="22" t="s">
        <v>140</v>
      </c>
      <c r="I22" s="23">
        <v>10</v>
      </c>
      <c r="J22" s="23">
        <v>2</v>
      </c>
    </row>
    <row r="23" spans="2:10">
      <c r="B23" s="24" t="s">
        <v>74</v>
      </c>
      <c r="C23" t="str">
        <f t="shared" si="7"/>
        <v>id=5hxa7z34emiure9</v>
      </c>
      <c r="D23" s="33" t="str">
        <f t="shared" ca="1" si="8"/>
        <v>testwebdriver20210706130728-TEST00000000000000000000000</v>
      </c>
      <c r="G23" s="22" t="s">
        <v>177</v>
      </c>
      <c r="H23" s="22" t="s">
        <v>139</v>
      </c>
      <c r="I23" s="23">
        <v>60</v>
      </c>
      <c r="J23" s="29" t="s">
        <v>121</v>
      </c>
    </row>
    <row r="24" spans="2:10">
      <c r="B24" s="24" t="s">
        <v>74</v>
      </c>
      <c r="C24" t="str">
        <f t="shared" si="7"/>
        <v>id=5hxa7z36jq45pe9</v>
      </c>
      <c r="D24" s="33" t="str">
        <f t="shared" ca="1" si="8"/>
        <v>testwebdriver20210706130728-TEST00000000000000000000000</v>
      </c>
      <c r="G24" s="22" t="s">
        <v>178</v>
      </c>
      <c r="H24" s="22" t="s">
        <v>139</v>
      </c>
      <c r="I24" s="23">
        <v>60</v>
      </c>
      <c r="J24" s="29" t="s">
        <v>121</v>
      </c>
    </row>
    <row r="25" spans="2:10">
      <c r="B25" s="24" t="s">
        <v>74</v>
      </c>
      <c r="C25" t="str">
        <f t="shared" si="7"/>
        <v>id=5hxa7z36s3r8be9</v>
      </c>
      <c r="D25" s="33" t="str">
        <f t="shared" ca="1" si="8"/>
        <v>testwebdriver20210706130728-TEST00000000000000000000000</v>
      </c>
      <c r="G25" s="22" t="s">
        <v>179</v>
      </c>
      <c r="H25" s="22" t="s">
        <v>139</v>
      </c>
      <c r="I25" s="23">
        <v>60</v>
      </c>
      <c r="J25" s="29" t="s">
        <v>121</v>
      </c>
    </row>
    <row r="26" spans="2:10">
      <c r="B26" s="24" t="s">
        <v>74</v>
      </c>
      <c r="C26" t="str">
        <f t="shared" si="7"/>
        <v>id=5hxa7z3b83scwe9</v>
      </c>
      <c r="D26" s="33" t="str">
        <f t="shared" ca="1" si="8"/>
        <v>testwebdriver20210706130728-TEST00000000000000000000000</v>
      </c>
      <c r="G26" s="22" t="s">
        <v>180</v>
      </c>
      <c r="H26" s="22" t="s">
        <v>139</v>
      </c>
      <c r="I26" s="23">
        <v>60</v>
      </c>
      <c r="J26" s="29" t="s">
        <v>121</v>
      </c>
    </row>
    <row r="27" spans="2:10">
      <c r="B27" s="24" t="s">
        <v>74</v>
      </c>
      <c r="C27" t="str">
        <f t="shared" si="7"/>
        <v>id=5hxa7z3e2mrybe9</v>
      </c>
      <c r="D27" s="33" t="str">
        <f t="shared" ca="1" si="8"/>
        <v>testwebdriver20</v>
      </c>
      <c r="G27" s="22" t="s">
        <v>176</v>
      </c>
      <c r="H27" s="22" t="s">
        <v>139</v>
      </c>
      <c r="I27" s="23">
        <v>15</v>
      </c>
      <c r="J27" s="29" t="s">
        <v>121</v>
      </c>
    </row>
    <row r="28" spans="2:10">
      <c r="B28" s="24" t="s">
        <v>74</v>
      </c>
      <c r="C28" t="str">
        <f t="shared" si="7"/>
        <v>id=5hxa7z3o8014je9</v>
      </c>
      <c r="D28" s="33" t="str">
        <f t="shared" ca="1" si="8"/>
        <v>testwebdriver20210706130728-TEST00000000000000000000000</v>
      </c>
      <c r="G28" s="22" t="s">
        <v>181</v>
      </c>
      <c r="H28" s="22" t="s">
        <v>139</v>
      </c>
      <c r="I28" s="23">
        <v>59</v>
      </c>
      <c r="J28" s="29" t="s">
        <v>121</v>
      </c>
    </row>
    <row r="29" spans="2:10">
      <c r="B29" s="24" t="s">
        <v>74</v>
      </c>
      <c r="C29" t="str">
        <f t="shared" si="7"/>
        <v>id=5hxa7zflfnwwxe9</v>
      </c>
      <c r="D29" s="33" t="str">
        <f t="shared" ca="1" si="8"/>
        <v>testwebdriver20210706130728-TEST00000000000000000000000</v>
      </c>
      <c r="G29" s="22" t="s">
        <v>168</v>
      </c>
      <c r="H29" s="22" t="s">
        <v>139</v>
      </c>
      <c r="I29" s="23">
        <v>59</v>
      </c>
      <c r="J29" s="29" t="s">
        <v>121</v>
      </c>
    </row>
    <row r="30" spans="2:10">
      <c r="B30" s="24" t="s">
        <v>74</v>
      </c>
      <c r="C30" t="str">
        <f t="shared" si="7"/>
        <v>id=5hxa7zflkfcxte9</v>
      </c>
      <c r="D30" s="33" t="str">
        <f t="shared" ca="1" si="8"/>
        <v>testwebdriver20210706130728-TEST00000000000000000000000</v>
      </c>
      <c r="G30" s="22" t="s">
        <v>169</v>
      </c>
      <c r="H30" s="22" t="s">
        <v>139</v>
      </c>
      <c r="I30" s="23">
        <v>59</v>
      </c>
      <c r="J30" s="29" t="s">
        <v>121</v>
      </c>
    </row>
    <row r="31" spans="2:10">
      <c r="B31" s="24" t="s">
        <v>74</v>
      </c>
      <c r="C31" t="str">
        <f t="shared" si="7"/>
        <v>id=5hxa7zfmka4yae9</v>
      </c>
      <c r="D31" s="33" t="str">
        <f t="shared" ca="1" si="8"/>
        <v>testwebdriver20210706130728-TEST00000000000000000000000</v>
      </c>
      <c r="G31" s="22" t="s">
        <v>170</v>
      </c>
      <c r="H31" s="22" t="s">
        <v>139</v>
      </c>
      <c r="I31" s="23">
        <v>59</v>
      </c>
      <c r="J31" s="29" t="s">
        <v>121</v>
      </c>
    </row>
    <row r="32" spans="2:10">
      <c r="B32" s="24" t="s">
        <v>74</v>
      </c>
      <c r="C32" t="str">
        <f t="shared" si="7"/>
        <v>id=5hxa7zfmo2uyre9</v>
      </c>
      <c r="D32" s="33" t="str">
        <f t="shared" ca="1" si="8"/>
        <v>testwebdriver20210706130728-TEST00000000000000000000000</v>
      </c>
      <c r="G32" s="22" t="s">
        <v>171</v>
      </c>
      <c r="H32" s="22" t="s">
        <v>139</v>
      </c>
      <c r="I32" s="23">
        <v>59</v>
      </c>
      <c r="J32" s="29" t="s">
        <v>121</v>
      </c>
    </row>
    <row r="33" spans="2:10">
      <c r="B33" s="24" t="s">
        <v>74</v>
      </c>
      <c r="C33" t="str">
        <f t="shared" si="7"/>
        <v>id=5hxa7zfyg0kege9</v>
      </c>
      <c r="D33" s="33" t="str">
        <f t="shared" ca="1" si="8"/>
        <v>testwebdriver20210706130728-TEST00000000000000000000000</v>
      </c>
      <c r="G33" s="22" t="s">
        <v>172</v>
      </c>
      <c r="H33" s="22" t="s">
        <v>139</v>
      </c>
      <c r="I33" s="23">
        <v>59</v>
      </c>
      <c r="J33" s="29" t="s">
        <v>121</v>
      </c>
    </row>
    <row r="34" spans="2:10">
      <c r="B34" s="24" t="s">
        <v>74</v>
      </c>
      <c r="C34" t="str">
        <f t="shared" si="7"/>
        <v>id=5hxa7zfzhhjexe9</v>
      </c>
      <c r="D34" s="33" t="str">
        <f t="shared" ca="1" si="8"/>
        <v>testwebdriver20210706130728-TEST00000000000000000000000</v>
      </c>
      <c r="G34" s="22" t="s">
        <v>173</v>
      </c>
      <c r="H34" s="22" t="s">
        <v>139</v>
      </c>
      <c r="I34" s="23">
        <v>59</v>
      </c>
      <c r="J34" s="29" t="s">
        <v>121</v>
      </c>
    </row>
    <row r="35" spans="2:10">
      <c r="B35" s="24" t="s">
        <v>74</v>
      </c>
      <c r="C35" t="str">
        <f t="shared" si="7"/>
        <v>id=5hxa7zfzn0rfwe9</v>
      </c>
      <c r="D35" s="33" t="str">
        <f t="shared" ca="1" si="8"/>
        <v>testwebdriver20210706130728-TEST00000000000000000000000</v>
      </c>
      <c r="G35" s="22" t="s">
        <v>174</v>
      </c>
      <c r="H35" s="22" t="s">
        <v>139</v>
      </c>
      <c r="I35" s="23">
        <v>59</v>
      </c>
      <c r="J35" s="29" t="s">
        <v>121</v>
      </c>
    </row>
    <row r="36" spans="2:10">
      <c r="B36" s="24" t="s">
        <v>74</v>
      </c>
      <c r="C36" t="str">
        <f t="shared" si="7"/>
        <v>id=5hxa7zfzrwjhae9</v>
      </c>
      <c r="D36" s="33" t="str">
        <f t="shared" ca="1" si="8"/>
        <v>testwebdriver20210706130728-TEST00000000000000000000000</v>
      </c>
      <c r="G36" s="22" t="s">
        <v>175</v>
      </c>
      <c r="H36" s="22" t="s">
        <v>139</v>
      </c>
      <c r="I36" s="23">
        <v>59</v>
      </c>
      <c r="J36" s="29" t="s">
        <v>121</v>
      </c>
    </row>
    <row r="37" spans="2:10">
      <c r="B37" s="24" t="s">
        <v>74</v>
      </c>
      <c r="C37" t="str">
        <f t="shared" si="7"/>
        <v>id=5hxa7zfzvoenwe9</v>
      </c>
      <c r="D37" s="33" t="str">
        <f t="shared" ca="1" si="8"/>
        <v>testwebdriver20210706130728-TEST00000000000000000000000</v>
      </c>
      <c r="G37" s="22" t="s">
        <v>182</v>
      </c>
      <c r="H37" s="22" t="s">
        <v>139</v>
      </c>
      <c r="I37" s="23">
        <v>59</v>
      </c>
      <c r="J37" s="29" t="s">
        <v>121</v>
      </c>
    </row>
  </sheetData>
  <phoneticPr fontId="1"/>
  <conditionalFormatting sqref="B2">
    <cfRule type="expression" dxfId="668" priority="2">
      <formula>$B2="switchTo"</formula>
    </cfRule>
    <cfRule type="expression" dxfId="667" priority="3">
      <formula>$B2="wait"</formula>
    </cfRule>
  </conditionalFormatting>
  <conditionalFormatting sqref="B2:C2">
    <cfRule type="expression" dxfId="666" priority="8">
      <formula>$B2="label"</formula>
    </cfRule>
  </conditionalFormatting>
  <conditionalFormatting sqref="C2">
    <cfRule type="expression" dxfId="665" priority="4">
      <formula>$B2="switchTo"</formula>
    </cfRule>
    <cfRule type="expression" dxfId="664" priority="5">
      <formula>$B2="wait"</formula>
    </cfRule>
  </conditionalFormatting>
  <conditionalFormatting sqref="B2:C2">
    <cfRule type="expression" dxfId="663" priority="1">
      <formula>$B2="popup"</formula>
    </cfRule>
    <cfRule type="expression" dxfId="662" priority="6">
      <formula>$B2="switchTo"</formula>
    </cfRule>
    <cfRule type="expression" dxfId="661" priority="7">
      <formula>$B2="wait"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53"/>
  <sheetViews>
    <sheetView topLeftCell="A10" zoomScale="85" zoomScaleNormal="85" workbookViewId="0">
      <selection activeCell="C28" sqref="C28"/>
    </sheetView>
  </sheetViews>
  <sheetFormatPr defaultRowHeight="18"/>
  <cols>
    <col min="1" max="1" width="17.19921875" bestFit="1" customWidth="1"/>
    <col min="2" max="2" width="38.19921875" customWidth="1"/>
    <col min="3" max="3" width="43.19921875" bestFit="1" customWidth="1"/>
    <col min="5" max="5" width="59.59765625" customWidth="1"/>
    <col min="6" max="6" width="22.59765625" bestFit="1" customWidth="1"/>
  </cols>
  <sheetData>
    <row r="1" spans="1:7">
      <c r="A1" s="40" t="s">
        <v>264</v>
      </c>
    </row>
    <row r="2" spans="1:7">
      <c r="A2" s="20" t="s">
        <v>21</v>
      </c>
      <c r="B2" s="2" t="s">
        <v>123</v>
      </c>
      <c r="C2" s="7" t="str">
        <f>"# 間隔時間: "&amp;(B2/1000) &amp;"秒"</f>
        <v># 間隔時間: 0.5秒</v>
      </c>
    </row>
    <row r="3" spans="1:7">
      <c r="A3" s="20" t="s">
        <v>136</v>
      </c>
      <c r="B3" s="2" t="s">
        <v>152</v>
      </c>
      <c r="C3" t="s">
        <v>261</v>
      </c>
    </row>
    <row r="4" spans="1:7">
      <c r="A4" s="20" t="s">
        <v>89</v>
      </c>
      <c r="B4" s="2" t="s">
        <v>137</v>
      </c>
      <c r="C4" t="s">
        <v>262</v>
      </c>
    </row>
    <row r="5" spans="1:7" hidden="1">
      <c r="A5" s="1"/>
      <c r="B5" s="2"/>
    </row>
    <row r="6" spans="1:7" hidden="1">
      <c r="A6" s="1"/>
      <c r="B6" s="2"/>
    </row>
    <row r="7" spans="1:7" hidden="1">
      <c r="A7" s="1"/>
    </row>
    <row r="8" spans="1:7" hidden="1">
      <c r="A8" s="1"/>
    </row>
    <row r="9" spans="1:7" hidden="1">
      <c r="A9" s="1"/>
    </row>
    <row r="10" spans="1:7">
      <c r="A10" s="40" t="s">
        <v>263</v>
      </c>
      <c r="B10" s="38" t="s">
        <v>15</v>
      </c>
      <c r="C10" s="37" t="s">
        <v>197</v>
      </c>
      <c r="D10" s="3" t="s">
        <v>15</v>
      </c>
      <c r="E10" s="4" t="s">
        <v>16</v>
      </c>
      <c r="F10" s="10" t="s">
        <v>38</v>
      </c>
      <c r="G10" s="4" t="s">
        <v>116</v>
      </c>
    </row>
    <row r="11" spans="1:7">
      <c r="A11" t="str">
        <f>"step"&amp;ROW()-10</f>
        <v>step1</v>
      </c>
      <c r="B11" s="2" t="s">
        <v>91</v>
      </c>
      <c r="C11" t="s">
        <v>206</v>
      </c>
      <c r="D11" s="2" t="s">
        <v>91</v>
      </c>
      <c r="E11" s="5" t="s">
        <v>94</v>
      </c>
      <c r="F11" s="11">
        <v>1</v>
      </c>
      <c r="G11" s="5"/>
    </row>
    <row r="12" spans="1:7">
      <c r="A12" t="str">
        <f t="shared" ref="A12:A34" si="0">"step"&amp;ROW()-10</f>
        <v>step2</v>
      </c>
      <c r="B12" s="2" t="s">
        <v>1</v>
      </c>
      <c r="C12" t="s">
        <v>198</v>
      </c>
      <c r="D12" s="2" t="s">
        <v>1</v>
      </c>
      <c r="E12" s="6" t="s">
        <v>199</v>
      </c>
      <c r="F12" s="11"/>
    </row>
    <row r="13" spans="1:7">
      <c r="A13" t="str">
        <f t="shared" si="0"/>
        <v>step3</v>
      </c>
      <c r="B13" s="2" t="s">
        <v>64</v>
      </c>
      <c r="C13" t="s">
        <v>200</v>
      </c>
      <c r="D13" s="2" t="s">
        <v>64</v>
      </c>
      <c r="E13" s="5"/>
      <c r="F13" s="11">
        <v>1000</v>
      </c>
    </row>
    <row r="14" spans="1:7">
      <c r="A14" t="str">
        <f t="shared" si="0"/>
        <v>step4</v>
      </c>
      <c r="B14" s="2" t="s">
        <v>3</v>
      </c>
      <c r="C14" t="s">
        <v>201</v>
      </c>
      <c r="D14" s="2" t="s">
        <v>3</v>
      </c>
      <c r="E14" s="5" t="s">
        <v>4</v>
      </c>
      <c r="F14" s="11" t="s">
        <v>73</v>
      </c>
    </row>
    <row r="15" spans="1:7">
      <c r="A15" t="str">
        <f t="shared" si="0"/>
        <v>step5</v>
      </c>
      <c r="B15" s="2" t="s">
        <v>74</v>
      </c>
      <c r="C15" t="s">
        <v>202</v>
      </c>
      <c r="D15" s="2" t="s">
        <v>74</v>
      </c>
      <c r="E15" s="5" t="s">
        <v>203</v>
      </c>
      <c r="F15" s="11" t="s">
        <v>204</v>
      </c>
    </row>
    <row r="16" spans="1:7">
      <c r="A16" t="str">
        <f t="shared" si="0"/>
        <v>step6</v>
      </c>
      <c r="B16" s="2" t="s">
        <v>6</v>
      </c>
      <c r="C16" t="s">
        <v>205</v>
      </c>
      <c r="D16" s="2" t="s">
        <v>6</v>
      </c>
      <c r="E16" s="5" t="s">
        <v>7</v>
      </c>
      <c r="F16" s="11"/>
    </row>
    <row r="17" spans="1:6">
      <c r="A17" t="str">
        <f t="shared" si="0"/>
        <v>step7</v>
      </c>
      <c r="B17" s="17" t="s">
        <v>98</v>
      </c>
      <c r="C17" t="s">
        <v>207</v>
      </c>
      <c r="D17" s="17" t="s">
        <v>98</v>
      </c>
      <c r="E17" s="18" t="s">
        <v>100</v>
      </c>
    </row>
    <row r="18" spans="1:6">
      <c r="A18" t="str">
        <f t="shared" si="0"/>
        <v>step8</v>
      </c>
      <c r="B18" s="2" t="s">
        <v>10</v>
      </c>
      <c r="C18" t="s">
        <v>222</v>
      </c>
      <c r="D18" s="2" t="s">
        <v>10</v>
      </c>
      <c r="E18" s="5" t="s">
        <v>223</v>
      </c>
      <c r="F18" s="11" t="s">
        <v>224</v>
      </c>
    </row>
    <row r="19" spans="1:6">
      <c r="A19" t="str">
        <f t="shared" si="0"/>
        <v>step9</v>
      </c>
      <c r="B19" s="2" t="s">
        <v>10</v>
      </c>
      <c r="C19" t="s">
        <v>228</v>
      </c>
      <c r="D19" s="2" t="s">
        <v>10</v>
      </c>
      <c r="E19" s="5" t="s">
        <v>229</v>
      </c>
      <c r="F19" s="11"/>
    </row>
    <row r="20" spans="1:6">
      <c r="A20" t="str">
        <f t="shared" si="0"/>
        <v>step10</v>
      </c>
      <c r="B20" s="2" t="s">
        <v>10</v>
      </c>
      <c r="C20" t="s">
        <v>225</v>
      </c>
      <c r="D20" s="2" t="s">
        <v>10</v>
      </c>
      <c r="E20" s="5" t="s">
        <v>11</v>
      </c>
      <c r="F20" s="11" t="s">
        <v>40</v>
      </c>
    </row>
    <row r="21" spans="1:6">
      <c r="A21" t="str">
        <f t="shared" si="0"/>
        <v>step11</v>
      </c>
      <c r="B21" s="2" t="s">
        <v>10</v>
      </c>
      <c r="C21" t="s">
        <v>226</v>
      </c>
      <c r="D21" s="2" t="s">
        <v>10</v>
      </c>
      <c r="E21" s="5" t="s">
        <v>227</v>
      </c>
      <c r="F21" s="11"/>
    </row>
    <row r="22" spans="1:6">
      <c r="A22" t="str">
        <f t="shared" si="0"/>
        <v>step12</v>
      </c>
      <c r="B22" s="2" t="s">
        <v>92</v>
      </c>
      <c r="C22" t="s">
        <v>208</v>
      </c>
      <c r="D22" s="2" t="s">
        <v>92</v>
      </c>
      <c r="E22" s="5" t="s">
        <v>209</v>
      </c>
    </row>
    <row r="23" spans="1:6" ht="36">
      <c r="A23" t="str">
        <f t="shared" si="0"/>
        <v>step13</v>
      </c>
      <c r="B23" s="17" t="s">
        <v>110</v>
      </c>
      <c r="C23" s="17" t="s">
        <v>210</v>
      </c>
      <c r="D23" s="17" t="s">
        <v>110</v>
      </c>
      <c r="E23" s="32" t="s">
        <v>114</v>
      </c>
      <c r="F23" s="19" t="s">
        <v>196</v>
      </c>
    </row>
    <row r="24" spans="1:6" ht="36">
      <c r="A24" t="str">
        <f t="shared" si="0"/>
        <v>step14</v>
      </c>
      <c r="B24" s="17" t="s">
        <v>103</v>
      </c>
      <c r="C24" s="17" t="s">
        <v>211</v>
      </c>
      <c r="D24" s="17" t="s">
        <v>103</v>
      </c>
      <c r="E24" s="32" t="s">
        <v>134</v>
      </c>
      <c r="F24" s="19" t="s">
        <v>196</v>
      </c>
    </row>
    <row r="25" spans="1:6">
      <c r="A25" t="str">
        <f t="shared" si="0"/>
        <v>step15</v>
      </c>
      <c r="B25" s="17" t="s">
        <v>113</v>
      </c>
      <c r="C25" t="s">
        <v>212</v>
      </c>
      <c r="D25" s="17" t="s">
        <v>113</v>
      </c>
      <c r="E25" s="18" t="s">
        <v>100</v>
      </c>
    </row>
    <row r="26" spans="1:6">
      <c r="A26" t="str">
        <f t="shared" si="0"/>
        <v>step16</v>
      </c>
      <c r="B26" s="17" t="s">
        <v>267</v>
      </c>
      <c r="C26" t="s">
        <v>272</v>
      </c>
      <c r="D26" s="17" t="s">
        <v>267</v>
      </c>
      <c r="E26" s="18" t="s">
        <v>203</v>
      </c>
      <c r="F26" t="s">
        <v>268</v>
      </c>
    </row>
    <row r="27" spans="1:6">
      <c r="A27" t="str">
        <f t="shared" si="0"/>
        <v>step17</v>
      </c>
      <c r="B27" s="17" t="s">
        <v>273</v>
      </c>
      <c r="C27" t="s">
        <v>276</v>
      </c>
      <c r="D27" s="17" t="s">
        <v>273</v>
      </c>
      <c r="E27" s="18" t="s">
        <v>274</v>
      </c>
    </row>
    <row r="28" spans="1:6">
      <c r="A28" t="str">
        <f t="shared" si="0"/>
        <v>step18</v>
      </c>
      <c r="B28" s="17" t="s">
        <v>275</v>
      </c>
      <c r="C28" t="s">
        <v>277</v>
      </c>
      <c r="D28" s="17" t="s">
        <v>275</v>
      </c>
      <c r="E28" s="18" t="s">
        <v>274</v>
      </c>
    </row>
    <row r="29" spans="1:6">
      <c r="A29" t="str">
        <f t="shared" si="0"/>
        <v>step19</v>
      </c>
      <c r="B29" s="20" t="s">
        <v>142</v>
      </c>
      <c r="C29" t="s">
        <v>213</v>
      </c>
      <c r="D29" s="20" t="s">
        <v>142</v>
      </c>
    </row>
    <row r="30" spans="1:6">
      <c r="A30" t="str">
        <f t="shared" si="0"/>
        <v>step20</v>
      </c>
      <c r="B30" s="2" t="s">
        <v>27</v>
      </c>
      <c r="C30" t="s">
        <v>214</v>
      </c>
      <c r="D30" s="2" t="s">
        <v>27</v>
      </c>
      <c r="E30" s="2" t="s">
        <v>25</v>
      </c>
      <c r="F30" s="11" t="s">
        <v>215</v>
      </c>
    </row>
    <row r="31" spans="1:6" ht="36">
      <c r="A31" t="str">
        <f t="shared" si="0"/>
        <v>step21</v>
      </c>
      <c r="B31" s="17" t="s">
        <v>59</v>
      </c>
      <c r="C31" t="s">
        <v>217</v>
      </c>
      <c r="D31" s="17" t="s">
        <v>59</v>
      </c>
      <c r="E31" s="32" t="s">
        <v>118</v>
      </c>
      <c r="F31" t="s">
        <v>216</v>
      </c>
    </row>
    <row r="32" spans="1:6">
      <c r="A32" t="str">
        <f t="shared" si="0"/>
        <v>step22</v>
      </c>
      <c r="B32" s="2" t="s">
        <v>45</v>
      </c>
      <c r="C32" t="s">
        <v>218</v>
      </c>
      <c r="D32" s="2" t="s">
        <v>45</v>
      </c>
      <c r="E32" s="2" t="s">
        <v>48</v>
      </c>
      <c r="F32" s="11" t="s">
        <v>230</v>
      </c>
    </row>
    <row r="33" spans="1:7">
      <c r="A33" t="str">
        <f t="shared" si="0"/>
        <v>step23</v>
      </c>
      <c r="B33" s="2" t="s">
        <v>45</v>
      </c>
      <c r="C33" t="s">
        <v>219</v>
      </c>
      <c r="D33" s="2" t="s">
        <v>45</v>
      </c>
      <c r="E33" s="5"/>
      <c r="F33" s="11" t="s">
        <v>46</v>
      </c>
    </row>
    <row r="34" spans="1:7">
      <c r="A34" t="str">
        <f t="shared" si="0"/>
        <v>step24</v>
      </c>
      <c r="B34" s="2" t="s">
        <v>86</v>
      </c>
      <c r="C34" t="s">
        <v>220</v>
      </c>
      <c r="D34" t="s">
        <v>221</v>
      </c>
      <c r="G34" s="4" t="s">
        <v>116</v>
      </c>
    </row>
    <row r="37" spans="1:7">
      <c r="B37" s="4" t="s">
        <v>16</v>
      </c>
      <c r="C37" s="37" t="s">
        <v>197</v>
      </c>
      <c r="D37" s="3" t="s">
        <v>15</v>
      </c>
      <c r="E37" s="4" t="s">
        <v>16</v>
      </c>
      <c r="F37" s="10" t="s">
        <v>38</v>
      </c>
    </row>
    <row r="38" spans="1:7">
      <c r="B38" t="s">
        <v>231</v>
      </c>
      <c r="C38" t="s">
        <v>232</v>
      </c>
      <c r="D38" s="2" t="s">
        <v>74</v>
      </c>
      <c r="E38" s="5" t="s">
        <v>203</v>
      </c>
      <c r="F38" s="11" t="s">
        <v>204</v>
      </c>
    </row>
    <row r="39" spans="1:7">
      <c r="B39" t="s">
        <v>233</v>
      </c>
      <c r="C39" t="s">
        <v>234</v>
      </c>
      <c r="D39" s="2" t="s">
        <v>6</v>
      </c>
      <c r="E39" s="5" t="s">
        <v>33</v>
      </c>
    </row>
    <row r="40" spans="1:7">
      <c r="B40" s="2" t="s">
        <v>235</v>
      </c>
      <c r="C40" t="s">
        <v>236</v>
      </c>
      <c r="D40" s="17" t="s">
        <v>6</v>
      </c>
      <c r="E40" s="17" t="s">
        <v>29</v>
      </c>
      <c r="F40" s="19"/>
    </row>
    <row r="41" spans="1:7">
      <c r="B41" t="s">
        <v>237</v>
      </c>
      <c r="C41" t="s">
        <v>238</v>
      </c>
      <c r="D41" s="17" t="s">
        <v>6</v>
      </c>
      <c r="E41" t="s">
        <v>237</v>
      </c>
    </row>
    <row r="42" spans="1:7">
      <c r="B42" s="32" t="s">
        <v>239</v>
      </c>
      <c r="C42" t="s">
        <v>246</v>
      </c>
      <c r="D42" s="17" t="s">
        <v>13</v>
      </c>
      <c r="E42" s="18" t="s">
        <v>80</v>
      </c>
      <c r="F42" s="19" t="s">
        <v>240</v>
      </c>
    </row>
    <row r="43" spans="1:7">
      <c r="B43" t="s">
        <v>241</v>
      </c>
      <c r="C43" t="s">
        <v>242</v>
      </c>
      <c r="D43" s="2" t="s">
        <v>92</v>
      </c>
      <c r="E43" s="5" t="s">
        <v>209</v>
      </c>
    </row>
    <row r="44" spans="1:7">
      <c r="B44" t="s">
        <v>243</v>
      </c>
      <c r="C44" t="s">
        <v>244</v>
      </c>
      <c r="D44" t="s">
        <v>245</v>
      </c>
      <c r="E44" t="s">
        <v>243</v>
      </c>
    </row>
    <row r="46" spans="1:7">
      <c r="B46" s="4" t="s">
        <v>38</v>
      </c>
      <c r="C46" s="37" t="s">
        <v>197</v>
      </c>
      <c r="D46" s="3" t="s">
        <v>15</v>
      </c>
      <c r="E46" s="4" t="s">
        <v>16</v>
      </c>
      <c r="F46" s="10" t="s">
        <v>38</v>
      </c>
    </row>
    <row r="47" spans="1:7">
      <c r="B47" t="s">
        <v>251</v>
      </c>
      <c r="C47" t="s">
        <v>252</v>
      </c>
      <c r="D47" s="2" t="s">
        <v>45</v>
      </c>
      <c r="E47" s="5"/>
      <c r="F47" s="11" t="s">
        <v>46</v>
      </c>
    </row>
    <row r="48" spans="1:7">
      <c r="B48" t="s">
        <v>247</v>
      </c>
      <c r="C48" t="s">
        <v>248</v>
      </c>
      <c r="D48" t="s">
        <v>249</v>
      </c>
      <c r="E48" s="39" t="s">
        <v>250</v>
      </c>
    </row>
    <row r="49" spans="2:6">
      <c r="B49" t="s">
        <v>253</v>
      </c>
      <c r="C49" t="s">
        <v>254</v>
      </c>
      <c r="D49" s="2" t="s">
        <v>45</v>
      </c>
      <c r="E49" s="5" t="s">
        <v>203</v>
      </c>
      <c r="F49" t="s">
        <v>255</v>
      </c>
    </row>
    <row r="50" spans="2:6">
      <c r="B50" s="4" t="s">
        <v>116</v>
      </c>
      <c r="C50" s="37" t="s">
        <v>197</v>
      </c>
      <c r="D50" s="3" t="s">
        <v>15</v>
      </c>
      <c r="E50" s="4" t="s">
        <v>16</v>
      </c>
      <c r="F50" s="10" t="s">
        <v>38</v>
      </c>
    </row>
    <row r="51" spans="2:6">
      <c r="B51">
        <v>1</v>
      </c>
      <c r="C51" t="s">
        <v>256</v>
      </c>
      <c r="D51" t="s">
        <v>45</v>
      </c>
      <c r="F51" t="s">
        <v>257</v>
      </c>
    </row>
    <row r="52" spans="2:6">
      <c r="B52">
        <v>-1</v>
      </c>
      <c r="C52" t="s">
        <v>258</v>
      </c>
    </row>
    <row r="53" spans="2:6">
      <c r="B53" t="s">
        <v>259</v>
      </c>
      <c r="C53" t="s">
        <v>260</v>
      </c>
    </row>
  </sheetData>
  <phoneticPr fontId="1"/>
  <conditionalFormatting sqref="B40 B11:B17">
    <cfRule type="expression" dxfId="660" priority="649">
      <formula>#REF!="popup"</formula>
    </cfRule>
    <cfRule type="expression" dxfId="659" priority="664">
      <formula>#REF!="switchTo"</formula>
    </cfRule>
    <cfRule type="expression" dxfId="658" priority="665">
      <formula>#REF!="wait"</formula>
    </cfRule>
  </conditionalFormatting>
  <conditionalFormatting sqref="B40 B11:B17">
    <cfRule type="expression" dxfId="657" priority="611">
      <formula>#REF!="label"</formula>
    </cfRule>
  </conditionalFormatting>
  <conditionalFormatting sqref="D21:F21 C23 B20:B23">
    <cfRule type="expression" dxfId="656" priority="190">
      <formula>#REF!="popup"</formula>
    </cfRule>
    <cfRule type="expression" dxfId="655" priority="191">
      <formula>#REF!="switchTo"</formula>
    </cfRule>
    <cfRule type="expression" dxfId="654" priority="192">
      <formula>#REF!="wait"</formula>
    </cfRule>
  </conditionalFormatting>
  <conditionalFormatting sqref="D21:F21 C23 B20:B23">
    <cfRule type="expression" dxfId="653" priority="189">
      <formula>#REF!="label"</formula>
    </cfRule>
  </conditionalFormatting>
  <conditionalFormatting sqref="D11:G11">
    <cfRule type="expression" dxfId="652" priority="218">
      <formula>#REF!="popup"</formula>
    </cfRule>
    <cfRule type="expression" dxfId="651" priority="219">
      <formula>#REF!="switchTo"</formula>
    </cfRule>
    <cfRule type="expression" dxfId="650" priority="220">
      <formula>#REF!="wait"</formula>
    </cfRule>
  </conditionalFormatting>
  <conditionalFormatting sqref="D11:G11">
    <cfRule type="expression" dxfId="649" priority="217">
      <formula>#REF!="label"</formula>
    </cfRule>
  </conditionalFormatting>
  <conditionalFormatting sqref="B32 B25 B29:B30">
    <cfRule type="expression" dxfId="648" priority="249">
      <formula>#REF!="label"</formula>
    </cfRule>
  </conditionalFormatting>
  <conditionalFormatting sqref="B32 B25 B29:B30">
    <cfRule type="expression" dxfId="647" priority="250">
      <formula>#REF!="popup"</formula>
    </cfRule>
    <cfRule type="expression" dxfId="646" priority="251">
      <formula>#REF!="switchTo"</formula>
    </cfRule>
    <cfRule type="expression" dxfId="645" priority="252">
      <formula>#REF!="wait"</formula>
    </cfRule>
  </conditionalFormatting>
  <conditionalFormatting sqref="B35">
    <cfRule type="expression" dxfId="644" priority="246">
      <formula>#REF!="popup"</formula>
    </cfRule>
    <cfRule type="expression" dxfId="643" priority="247">
      <formula>#REF!="switchTo"</formula>
    </cfRule>
    <cfRule type="expression" dxfId="642" priority="248">
      <formula>#REF!="wait"</formula>
    </cfRule>
  </conditionalFormatting>
  <conditionalFormatting sqref="B35">
    <cfRule type="expression" dxfId="641" priority="245">
      <formula>#REF!="label"</formula>
    </cfRule>
  </conditionalFormatting>
  <conditionalFormatting sqref="B31">
    <cfRule type="expression" dxfId="640" priority="242">
      <formula>#REF!="popup"</formula>
    </cfRule>
    <cfRule type="expression" dxfId="639" priority="243">
      <formula>#REF!="switchTo"</formula>
    </cfRule>
    <cfRule type="expression" dxfId="638" priority="244">
      <formula>#REF!="wait"</formula>
    </cfRule>
  </conditionalFormatting>
  <conditionalFormatting sqref="B31">
    <cfRule type="expression" dxfId="637" priority="241">
      <formula>#REF!="label"</formula>
    </cfRule>
  </conditionalFormatting>
  <conditionalFormatting sqref="B34">
    <cfRule type="expression" dxfId="636" priority="238">
      <formula>#REF!="popup"</formula>
    </cfRule>
    <cfRule type="expression" dxfId="635" priority="239">
      <formula>#REF!="switchTo"</formula>
    </cfRule>
    <cfRule type="expression" dxfId="634" priority="240">
      <formula>#REF!="wait"</formula>
    </cfRule>
  </conditionalFormatting>
  <conditionalFormatting sqref="B34">
    <cfRule type="expression" dxfId="633" priority="237">
      <formula>#REF!="label"</formula>
    </cfRule>
  </conditionalFormatting>
  <conditionalFormatting sqref="B24">
    <cfRule type="expression" dxfId="632" priority="234">
      <formula>#REF!="popup"</formula>
    </cfRule>
    <cfRule type="expression" dxfId="631" priority="235">
      <formula>#REF!="switchTo"</formula>
    </cfRule>
    <cfRule type="expression" dxfId="630" priority="236">
      <formula>#REF!="wait"</formula>
    </cfRule>
  </conditionalFormatting>
  <conditionalFormatting sqref="B24">
    <cfRule type="expression" dxfId="629" priority="233">
      <formula>#REF!="label"</formula>
    </cfRule>
  </conditionalFormatting>
  <conditionalFormatting sqref="D17:E17">
    <cfRule type="expression" dxfId="628" priority="194">
      <formula>#REF!="popup"</formula>
    </cfRule>
    <cfRule type="expression" dxfId="627" priority="195">
      <formula>#REF!="switchTo"</formula>
    </cfRule>
    <cfRule type="expression" dxfId="626" priority="196">
      <formula>#REF!="wait"</formula>
    </cfRule>
  </conditionalFormatting>
  <conditionalFormatting sqref="D17:E17">
    <cfRule type="expression" dxfId="625" priority="193">
      <formula>#REF!="label"</formula>
    </cfRule>
  </conditionalFormatting>
  <conditionalFormatting sqref="D22:E22">
    <cfRule type="expression" dxfId="624" priority="185">
      <formula>#REF!="label"</formula>
    </cfRule>
  </conditionalFormatting>
  <conditionalFormatting sqref="D22:E22">
    <cfRule type="expression" dxfId="623" priority="186">
      <formula>#REF!="popup"</formula>
    </cfRule>
    <cfRule type="expression" dxfId="622" priority="187">
      <formula>#REF!="switchTo"</formula>
    </cfRule>
    <cfRule type="expression" dxfId="621" priority="188">
      <formula>#REF!="wait"</formula>
    </cfRule>
  </conditionalFormatting>
  <conditionalFormatting sqref="D12:F12">
    <cfRule type="expression" dxfId="620" priority="214">
      <formula>#REF!="popup"</formula>
    </cfRule>
    <cfRule type="expression" dxfId="619" priority="215">
      <formula>#REF!="switchTo"</formula>
    </cfRule>
    <cfRule type="expression" dxfId="618" priority="216">
      <formula>#REF!="wait"</formula>
    </cfRule>
  </conditionalFormatting>
  <conditionalFormatting sqref="D12:F12">
    <cfRule type="expression" dxfId="617" priority="213">
      <formula>#REF!="label"</formula>
    </cfRule>
  </conditionalFormatting>
  <conditionalFormatting sqref="D13:F13">
    <cfRule type="expression" dxfId="616" priority="210">
      <formula>#REF!="popup"</formula>
    </cfRule>
    <cfRule type="expression" dxfId="615" priority="211">
      <formula>#REF!="switchTo"</formula>
    </cfRule>
    <cfRule type="expression" dxfId="614" priority="212">
      <formula>#REF!="wait"</formula>
    </cfRule>
  </conditionalFormatting>
  <conditionalFormatting sqref="D13:F13">
    <cfRule type="expression" dxfId="613" priority="209">
      <formula>#REF!="label"</formula>
    </cfRule>
  </conditionalFormatting>
  <conditionalFormatting sqref="D14:F14">
    <cfRule type="expression" dxfId="612" priority="206">
      <formula>#REF!="popup"</formula>
    </cfRule>
    <cfRule type="expression" dxfId="611" priority="207">
      <formula>#REF!="switchTo"</formula>
    </cfRule>
    <cfRule type="expression" dxfId="610" priority="208">
      <formula>#REF!="wait"</formula>
    </cfRule>
  </conditionalFormatting>
  <conditionalFormatting sqref="D14:F14">
    <cfRule type="expression" dxfId="609" priority="205">
      <formula>#REF!="label"</formula>
    </cfRule>
  </conditionalFormatting>
  <conditionalFormatting sqref="D15:F15">
    <cfRule type="expression" dxfId="608" priority="202">
      <formula>#REF!="popup"</formula>
    </cfRule>
    <cfRule type="expression" dxfId="607" priority="203">
      <formula>#REF!="switchTo"</formula>
    </cfRule>
    <cfRule type="expression" dxfId="606" priority="204">
      <formula>#REF!="wait"</formula>
    </cfRule>
  </conditionalFormatting>
  <conditionalFormatting sqref="D15:F15">
    <cfRule type="expression" dxfId="605" priority="201">
      <formula>#REF!="label"</formula>
    </cfRule>
  </conditionalFormatting>
  <conditionalFormatting sqref="D16:F16">
    <cfRule type="expression" dxfId="604" priority="198">
      <formula>#REF!="popup"</formula>
    </cfRule>
    <cfRule type="expression" dxfId="603" priority="199">
      <formula>#REF!="switchTo"</formula>
    </cfRule>
    <cfRule type="expression" dxfId="602" priority="200">
      <formula>#REF!="wait"</formula>
    </cfRule>
  </conditionalFormatting>
  <conditionalFormatting sqref="D16:F16">
    <cfRule type="expression" dxfId="601" priority="197">
      <formula>#REF!="label"</formula>
    </cfRule>
  </conditionalFormatting>
  <conditionalFormatting sqref="D24">
    <cfRule type="expression" dxfId="600" priority="178">
      <formula>#REF!="popup"</formula>
    </cfRule>
    <cfRule type="expression" dxfId="599" priority="179">
      <formula>#REF!="switchTo"</formula>
    </cfRule>
    <cfRule type="expression" dxfId="598" priority="180">
      <formula>#REF!="wait"</formula>
    </cfRule>
  </conditionalFormatting>
  <conditionalFormatting sqref="D24">
    <cfRule type="expression" dxfId="597" priority="177">
      <formula>#REF!="label"</formula>
    </cfRule>
  </conditionalFormatting>
  <conditionalFormatting sqref="F23">
    <cfRule type="expression" dxfId="596" priority="174">
      <formula>#REF!="popup"</formula>
    </cfRule>
    <cfRule type="expression" dxfId="595" priority="175">
      <formula>#REF!="switchTo"</formula>
    </cfRule>
    <cfRule type="expression" dxfId="594" priority="176">
      <formula>#REF!="wait"</formula>
    </cfRule>
  </conditionalFormatting>
  <conditionalFormatting sqref="F23">
    <cfRule type="expression" dxfId="593" priority="173">
      <formula>#REF!="label"</formula>
    </cfRule>
  </conditionalFormatting>
  <conditionalFormatting sqref="D23">
    <cfRule type="expression" dxfId="592" priority="170">
      <formula>#REF!="popup"</formula>
    </cfRule>
    <cfRule type="expression" dxfId="591" priority="171">
      <formula>#REF!="switchTo"</formula>
    </cfRule>
    <cfRule type="expression" dxfId="590" priority="172">
      <formula>#REF!="wait"</formula>
    </cfRule>
  </conditionalFormatting>
  <conditionalFormatting sqref="D23">
    <cfRule type="expression" dxfId="589" priority="169">
      <formula>#REF!="label"</formula>
    </cfRule>
  </conditionalFormatting>
  <conditionalFormatting sqref="C24">
    <cfRule type="expression" dxfId="588" priority="166">
      <formula>#REF!="popup"</formula>
    </cfRule>
    <cfRule type="expression" dxfId="587" priority="167">
      <formula>#REF!="switchTo"</formula>
    </cfRule>
    <cfRule type="expression" dxfId="586" priority="168">
      <formula>#REF!="wait"</formula>
    </cfRule>
  </conditionalFormatting>
  <conditionalFormatting sqref="C24">
    <cfRule type="expression" dxfId="585" priority="165">
      <formula>#REF!="label"</formula>
    </cfRule>
  </conditionalFormatting>
  <conditionalFormatting sqref="E24">
    <cfRule type="expression" dxfId="584" priority="162">
      <formula>#REF!="popup"</formula>
    </cfRule>
    <cfRule type="expression" dxfId="583" priority="163">
      <formula>#REF!="switchTo"</formula>
    </cfRule>
    <cfRule type="expression" dxfId="582" priority="164">
      <formula>#REF!="wait"</formula>
    </cfRule>
  </conditionalFormatting>
  <conditionalFormatting sqref="E24">
    <cfRule type="expression" dxfId="581" priority="161">
      <formula>#REF!="label"</formula>
    </cfRule>
  </conditionalFormatting>
  <conditionalFormatting sqref="E23">
    <cfRule type="expression" dxfId="580" priority="158">
      <formula>#REF!="popup"</formula>
    </cfRule>
    <cfRule type="expression" dxfId="579" priority="159">
      <formula>#REF!="switchTo"</formula>
    </cfRule>
    <cfRule type="expression" dxfId="578" priority="160">
      <formula>#REF!="wait"</formula>
    </cfRule>
  </conditionalFormatting>
  <conditionalFormatting sqref="E23">
    <cfRule type="expression" dxfId="577" priority="157">
      <formula>#REF!="label"</formula>
    </cfRule>
  </conditionalFormatting>
  <conditionalFormatting sqref="F24">
    <cfRule type="expression" dxfId="576" priority="154">
      <formula>#REF!="popup"</formula>
    </cfRule>
    <cfRule type="expression" dxfId="575" priority="155">
      <formula>#REF!="switchTo"</formula>
    </cfRule>
    <cfRule type="expression" dxfId="574" priority="156">
      <formula>#REF!="wait"</formula>
    </cfRule>
  </conditionalFormatting>
  <conditionalFormatting sqref="F24">
    <cfRule type="expression" dxfId="573" priority="153">
      <formula>#REF!="label"</formula>
    </cfRule>
  </conditionalFormatting>
  <conditionalFormatting sqref="D29">
    <cfRule type="expression" dxfId="572" priority="149">
      <formula>#REF!="label"</formula>
    </cfRule>
  </conditionalFormatting>
  <conditionalFormatting sqref="D29">
    <cfRule type="expression" dxfId="571" priority="150">
      <formula>#REF!="popup"</formula>
    </cfRule>
    <cfRule type="expression" dxfId="570" priority="151">
      <formula>#REF!="switchTo"</formula>
    </cfRule>
    <cfRule type="expression" dxfId="569" priority="152">
      <formula>#REF!="wait"</formula>
    </cfRule>
  </conditionalFormatting>
  <conditionalFormatting sqref="D30:F30">
    <cfRule type="expression" dxfId="568" priority="146">
      <formula>#REF!="popup"</formula>
    </cfRule>
    <cfRule type="expression" dxfId="567" priority="147">
      <formula>#REF!="switchTo"</formula>
    </cfRule>
    <cfRule type="expression" dxfId="566" priority="148">
      <formula>#REF!="wait"</formula>
    </cfRule>
  </conditionalFormatting>
  <conditionalFormatting sqref="D30:F30">
    <cfRule type="expression" dxfId="565" priority="145">
      <formula>#REF!="label"</formula>
    </cfRule>
  </conditionalFormatting>
  <conditionalFormatting sqref="D31">
    <cfRule type="expression" dxfId="564" priority="142">
      <formula>#REF!="popup"</formula>
    </cfRule>
    <cfRule type="expression" dxfId="563" priority="143">
      <formula>#REF!="switchTo"</formula>
    </cfRule>
    <cfRule type="expression" dxfId="562" priority="144">
      <formula>#REF!="wait"</formula>
    </cfRule>
  </conditionalFormatting>
  <conditionalFormatting sqref="D31">
    <cfRule type="expression" dxfId="561" priority="141">
      <formula>#REF!="label"</formula>
    </cfRule>
  </conditionalFormatting>
  <conditionalFormatting sqref="E31">
    <cfRule type="expression" dxfId="560" priority="138">
      <formula>#REF!="popup"</formula>
    </cfRule>
    <cfRule type="expression" dxfId="559" priority="139">
      <formula>#REF!="switchTo"</formula>
    </cfRule>
    <cfRule type="expression" dxfId="558" priority="140">
      <formula>#REF!="wait"</formula>
    </cfRule>
  </conditionalFormatting>
  <conditionalFormatting sqref="E31">
    <cfRule type="expression" dxfId="557" priority="137">
      <formula>#REF!="label"</formula>
    </cfRule>
  </conditionalFormatting>
  <conditionalFormatting sqref="D32:F32">
    <cfRule type="expression" dxfId="556" priority="134">
      <formula>#REF!="popup"</formula>
    </cfRule>
    <cfRule type="expression" dxfId="555" priority="135">
      <formula>#REF!="switchTo"</formula>
    </cfRule>
    <cfRule type="expression" dxfId="554" priority="136">
      <formula>#REF!="wait"</formula>
    </cfRule>
  </conditionalFormatting>
  <conditionalFormatting sqref="D32:F32">
    <cfRule type="expression" dxfId="553" priority="133">
      <formula>#REF!="label"</formula>
    </cfRule>
  </conditionalFormatting>
  <conditionalFormatting sqref="D33:F33">
    <cfRule type="expression" dxfId="552" priority="130">
      <formula>#REF!="popup"</formula>
    </cfRule>
    <cfRule type="expression" dxfId="551" priority="131">
      <formula>#REF!="switchTo"</formula>
    </cfRule>
    <cfRule type="expression" dxfId="550" priority="132">
      <formula>#REF!="wait"</formula>
    </cfRule>
  </conditionalFormatting>
  <conditionalFormatting sqref="D33:F33">
    <cfRule type="expression" dxfId="549" priority="129">
      <formula>#REF!="label"</formula>
    </cfRule>
  </conditionalFormatting>
  <conditionalFormatting sqref="B33">
    <cfRule type="expression" dxfId="548" priority="125">
      <formula>#REF!="label"</formula>
    </cfRule>
  </conditionalFormatting>
  <conditionalFormatting sqref="B33">
    <cfRule type="expression" dxfId="547" priority="126">
      <formula>#REF!="popup"</formula>
    </cfRule>
    <cfRule type="expression" dxfId="546" priority="127">
      <formula>#REF!="switchTo"</formula>
    </cfRule>
    <cfRule type="expression" dxfId="545" priority="128">
      <formula>#REF!="wait"</formula>
    </cfRule>
  </conditionalFormatting>
  <conditionalFormatting sqref="D18:F18 B18">
    <cfRule type="expression" dxfId="544" priority="122">
      <formula>#REF!="popup"</formula>
    </cfRule>
    <cfRule type="expression" dxfId="543" priority="123">
      <formula>#REF!="switchTo"</formula>
    </cfRule>
    <cfRule type="expression" dxfId="542" priority="124">
      <formula>#REF!="wait"</formula>
    </cfRule>
  </conditionalFormatting>
  <conditionalFormatting sqref="D18:F18 B18">
    <cfRule type="expression" dxfId="541" priority="121">
      <formula>#REF!="label"</formula>
    </cfRule>
  </conditionalFormatting>
  <conditionalFormatting sqref="D20:F20">
    <cfRule type="expression" dxfId="540" priority="118">
      <formula>#REF!="popup"</formula>
    </cfRule>
    <cfRule type="expression" dxfId="539" priority="119">
      <formula>#REF!="switchTo"</formula>
    </cfRule>
    <cfRule type="expression" dxfId="538" priority="120">
      <formula>#REF!="wait"</formula>
    </cfRule>
  </conditionalFormatting>
  <conditionalFormatting sqref="D20:F20">
    <cfRule type="expression" dxfId="537" priority="117">
      <formula>#REF!="label"</formula>
    </cfRule>
  </conditionalFormatting>
  <conditionalFormatting sqref="B19">
    <cfRule type="expression" dxfId="536" priority="114">
      <formula>#REF!="popup"</formula>
    </cfRule>
    <cfRule type="expression" dxfId="535" priority="115">
      <formula>#REF!="switchTo"</formula>
    </cfRule>
    <cfRule type="expression" dxfId="534" priority="116">
      <formula>#REF!="wait"</formula>
    </cfRule>
  </conditionalFormatting>
  <conditionalFormatting sqref="B19">
    <cfRule type="expression" dxfId="533" priority="113">
      <formula>#REF!="label"</formula>
    </cfRule>
  </conditionalFormatting>
  <conditionalFormatting sqref="D19:F19">
    <cfRule type="expression" dxfId="532" priority="110">
      <formula>#REF!="popup"</formula>
    </cfRule>
    <cfRule type="expression" dxfId="531" priority="111">
      <formula>#REF!="switchTo"</formula>
    </cfRule>
    <cfRule type="expression" dxfId="530" priority="112">
      <formula>#REF!="wait"</formula>
    </cfRule>
  </conditionalFormatting>
  <conditionalFormatting sqref="D19:F19">
    <cfRule type="expression" dxfId="529" priority="109">
      <formula>#REF!="label"</formula>
    </cfRule>
  </conditionalFormatting>
  <conditionalFormatting sqref="D25">
    <cfRule type="expression" dxfId="528" priority="105">
      <formula>#REF!="label"</formula>
    </cfRule>
  </conditionalFormatting>
  <conditionalFormatting sqref="D25">
    <cfRule type="expression" dxfId="527" priority="106">
      <formula>#REF!="popup"</formula>
    </cfRule>
    <cfRule type="expression" dxfId="526" priority="107">
      <formula>#REF!="switchTo"</formula>
    </cfRule>
    <cfRule type="expression" dxfId="525" priority="108">
      <formula>#REF!="wait"</formula>
    </cfRule>
  </conditionalFormatting>
  <conditionalFormatting sqref="D40:F40">
    <cfRule type="expression" dxfId="524" priority="83">
      <formula>#REF!="label"</formula>
    </cfRule>
  </conditionalFormatting>
  <conditionalFormatting sqref="E25">
    <cfRule type="expression" dxfId="523" priority="98">
      <formula>#REF!="popup"</formula>
    </cfRule>
    <cfRule type="expression" dxfId="522" priority="99">
      <formula>#REF!="switchTo"</formula>
    </cfRule>
    <cfRule type="expression" dxfId="521" priority="100">
      <formula>#REF!="wait"</formula>
    </cfRule>
  </conditionalFormatting>
  <conditionalFormatting sqref="E25">
    <cfRule type="expression" dxfId="520" priority="97">
      <formula>#REF!="label"</formula>
    </cfRule>
  </conditionalFormatting>
  <conditionalFormatting sqref="D38:F38">
    <cfRule type="expression" dxfId="519" priority="94">
      <formula>#REF!="popup"</formula>
    </cfRule>
    <cfRule type="expression" dxfId="518" priority="95">
      <formula>#REF!="switchTo"</formula>
    </cfRule>
    <cfRule type="expression" dxfId="517" priority="96">
      <formula>#REF!="wait"</formula>
    </cfRule>
  </conditionalFormatting>
  <conditionalFormatting sqref="D38:F38">
    <cfRule type="expression" dxfId="516" priority="93">
      <formula>#REF!="label"</formula>
    </cfRule>
  </conditionalFormatting>
  <conditionalFormatting sqref="D39:E39">
    <cfRule type="expression" dxfId="515" priority="90">
      <formula>#REF!="popup"</formula>
    </cfRule>
    <cfRule type="expression" dxfId="514" priority="91">
      <formula>#REF!="switchTo"</formula>
    </cfRule>
    <cfRule type="expression" dxfId="513" priority="92">
      <formula>#REF!="wait"</formula>
    </cfRule>
  </conditionalFormatting>
  <conditionalFormatting sqref="D39:E39">
    <cfRule type="expression" dxfId="512" priority="89">
      <formula>#REF!="label"</formula>
    </cfRule>
  </conditionalFormatting>
  <conditionalFormatting sqref="D40:F40">
    <cfRule type="expression" dxfId="511" priority="85">
      <formula>#REF!="switchTo"</formula>
    </cfRule>
    <cfRule type="expression" dxfId="510" priority="86">
      <formula>#REF!="wait"</formula>
    </cfRule>
  </conditionalFormatting>
  <conditionalFormatting sqref="D40:F40">
    <cfRule type="expression" dxfId="509" priority="84">
      <formula>#REF!="popup"</formula>
    </cfRule>
    <cfRule type="expression" dxfId="508" priority="87">
      <formula>#REF!="switchTo"</formula>
    </cfRule>
    <cfRule type="expression" dxfId="507" priority="88">
      <formula>#REF!="wait"</formula>
    </cfRule>
  </conditionalFormatting>
  <conditionalFormatting sqref="D41">
    <cfRule type="expression" dxfId="506" priority="77">
      <formula>#REF!="label"</formula>
    </cfRule>
  </conditionalFormatting>
  <conditionalFormatting sqref="D41">
    <cfRule type="expression" dxfId="505" priority="79">
      <formula>#REF!="switchTo"</formula>
    </cfRule>
    <cfRule type="expression" dxfId="504" priority="80">
      <formula>#REF!="wait"</formula>
    </cfRule>
  </conditionalFormatting>
  <conditionalFormatting sqref="D41">
    <cfRule type="expression" dxfId="503" priority="78">
      <formula>#REF!="popup"</formula>
    </cfRule>
    <cfRule type="expression" dxfId="502" priority="81">
      <formula>#REF!="switchTo"</formula>
    </cfRule>
    <cfRule type="expression" dxfId="501" priority="82">
      <formula>#REF!="wait"</formula>
    </cfRule>
  </conditionalFormatting>
  <conditionalFormatting sqref="B42">
    <cfRule type="expression" dxfId="500" priority="74">
      <formula>#REF!="popup"</formula>
    </cfRule>
    <cfRule type="expression" dxfId="499" priority="75">
      <formula>#REF!="switchTo"</formula>
    </cfRule>
    <cfRule type="expression" dxfId="498" priority="76">
      <formula>#REF!="wait"</formula>
    </cfRule>
  </conditionalFormatting>
  <conditionalFormatting sqref="B42">
    <cfRule type="expression" dxfId="497" priority="73">
      <formula>#REF!="label"</formula>
    </cfRule>
  </conditionalFormatting>
  <conditionalFormatting sqref="F42">
    <cfRule type="expression" dxfId="496" priority="70">
      <formula>#REF!="popup"</formula>
    </cfRule>
    <cfRule type="expression" dxfId="495" priority="71">
      <formula>#REF!="switchTo"</formula>
    </cfRule>
    <cfRule type="expression" dxfId="494" priority="72">
      <formula>#REF!="wait"</formula>
    </cfRule>
  </conditionalFormatting>
  <conditionalFormatting sqref="F42">
    <cfRule type="expression" dxfId="493" priority="69">
      <formula>#REF!="label"</formula>
    </cfRule>
  </conditionalFormatting>
  <conditionalFormatting sqref="D42">
    <cfRule type="expression" dxfId="492" priority="66">
      <formula>#REF!="popup"</formula>
    </cfRule>
    <cfRule type="expression" dxfId="491" priority="67">
      <formula>#REF!="switchTo"</formula>
    </cfRule>
    <cfRule type="expression" dxfId="490" priority="68">
      <formula>#REF!="wait"</formula>
    </cfRule>
  </conditionalFormatting>
  <conditionalFormatting sqref="D42">
    <cfRule type="expression" dxfId="489" priority="65">
      <formula>#REF!="label"</formula>
    </cfRule>
  </conditionalFormatting>
  <conditionalFormatting sqref="E42">
    <cfRule type="expression" dxfId="488" priority="62">
      <formula>#REF!="popup"</formula>
    </cfRule>
    <cfRule type="expression" dxfId="487" priority="63">
      <formula>#REF!="switchTo"</formula>
    </cfRule>
    <cfRule type="expression" dxfId="486" priority="64">
      <formula>#REF!="wait"</formula>
    </cfRule>
  </conditionalFormatting>
  <conditionalFormatting sqref="E42">
    <cfRule type="expression" dxfId="485" priority="61">
      <formula>#REF!="label"</formula>
    </cfRule>
  </conditionalFormatting>
  <conditionalFormatting sqref="D43:E43">
    <cfRule type="expression" dxfId="484" priority="57">
      <formula>#REF!="label"</formula>
    </cfRule>
  </conditionalFormatting>
  <conditionalFormatting sqref="D43:E43">
    <cfRule type="expression" dxfId="483" priority="58">
      <formula>#REF!="popup"</formula>
    </cfRule>
    <cfRule type="expression" dxfId="482" priority="59">
      <formula>#REF!="switchTo"</formula>
    </cfRule>
    <cfRule type="expression" dxfId="481" priority="60">
      <formula>#REF!="wait"</formula>
    </cfRule>
  </conditionalFormatting>
  <conditionalFormatting sqref="D47:F47">
    <cfRule type="expression" dxfId="480" priority="54">
      <formula>#REF!="popup"</formula>
    </cfRule>
    <cfRule type="expression" dxfId="479" priority="55">
      <formula>#REF!="switchTo"</formula>
    </cfRule>
    <cfRule type="expression" dxfId="478" priority="56">
      <formula>#REF!="wait"</formula>
    </cfRule>
  </conditionalFormatting>
  <conditionalFormatting sqref="D47:F47">
    <cfRule type="expression" dxfId="477" priority="53">
      <formula>#REF!="label"</formula>
    </cfRule>
  </conditionalFormatting>
  <conditionalFormatting sqref="D49">
    <cfRule type="expression" dxfId="476" priority="50">
      <formula>#REF!="popup"</formula>
    </cfRule>
    <cfRule type="expression" dxfId="475" priority="51">
      <formula>#REF!="switchTo"</formula>
    </cfRule>
    <cfRule type="expression" dxfId="474" priority="52">
      <formula>#REF!="wait"</formula>
    </cfRule>
  </conditionalFormatting>
  <conditionalFormatting sqref="D49">
    <cfRule type="expression" dxfId="473" priority="49">
      <formula>#REF!="label"</formula>
    </cfRule>
  </conditionalFormatting>
  <conditionalFormatting sqref="E49">
    <cfRule type="expression" dxfId="472" priority="46">
      <formula>#REF!="popup"</formula>
    </cfRule>
    <cfRule type="expression" dxfId="471" priority="47">
      <formula>#REF!="switchTo"</formula>
    </cfRule>
    <cfRule type="expression" dxfId="470" priority="48">
      <formula>#REF!="wait"</formula>
    </cfRule>
  </conditionalFormatting>
  <conditionalFormatting sqref="E49">
    <cfRule type="expression" dxfId="469" priority="45">
      <formula>#REF!="label"</formula>
    </cfRule>
  </conditionalFormatting>
  <conditionalFormatting sqref="D28">
    <cfRule type="expression" dxfId="468" priority="29">
      <formula>#REF!="label"</formula>
    </cfRule>
  </conditionalFormatting>
  <conditionalFormatting sqref="D28">
    <cfRule type="expression" dxfId="467" priority="30">
      <formula>#REF!="popup"</formula>
    </cfRule>
    <cfRule type="expression" dxfId="466" priority="31">
      <formula>#REF!="switchTo"</formula>
    </cfRule>
    <cfRule type="expression" dxfId="465" priority="32">
      <formula>#REF!="wait"</formula>
    </cfRule>
  </conditionalFormatting>
  <conditionalFormatting sqref="E28">
    <cfRule type="expression" dxfId="464" priority="25">
      <formula>#REF!="label"</formula>
    </cfRule>
  </conditionalFormatting>
  <conditionalFormatting sqref="E28">
    <cfRule type="expression" dxfId="463" priority="26">
      <formula>#REF!="popup"</formula>
    </cfRule>
    <cfRule type="expression" dxfId="462" priority="27">
      <formula>#REF!="switchTo"</formula>
    </cfRule>
    <cfRule type="expression" dxfId="461" priority="28">
      <formula>#REF!="wait"</formula>
    </cfRule>
  </conditionalFormatting>
  <conditionalFormatting sqref="B28">
    <cfRule type="expression" dxfId="460" priority="33">
      <formula>#REF!="label"</formula>
    </cfRule>
  </conditionalFormatting>
  <conditionalFormatting sqref="B28">
    <cfRule type="expression" dxfId="459" priority="34">
      <formula>#REF!="popup"</formula>
    </cfRule>
    <cfRule type="expression" dxfId="458" priority="35">
      <formula>#REF!="switchTo"</formula>
    </cfRule>
    <cfRule type="expression" dxfId="457" priority="36">
      <formula>#REF!="wait"</formula>
    </cfRule>
  </conditionalFormatting>
  <conditionalFormatting sqref="D26">
    <cfRule type="expression" dxfId="456" priority="17">
      <formula>#REF!="label"</formula>
    </cfRule>
  </conditionalFormatting>
  <conditionalFormatting sqref="D26">
    <cfRule type="expression" dxfId="455" priority="18">
      <formula>#REF!="popup"</formula>
    </cfRule>
    <cfRule type="expression" dxfId="454" priority="19">
      <formula>#REF!="switchTo"</formula>
    </cfRule>
    <cfRule type="expression" dxfId="453" priority="20">
      <formula>#REF!="wait"</formula>
    </cfRule>
  </conditionalFormatting>
  <conditionalFormatting sqref="E26">
    <cfRule type="expression" dxfId="452" priority="14">
      <formula>#REF!="popup"</formula>
    </cfRule>
    <cfRule type="expression" dxfId="451" priority="15">
      <formula>#REF!="switchTo"</formula>
    </cfRule>
    <cfRule type="expression" dxfId="450" priority="16">
      <formula>#REF!="wait"</formula>
    </cfRule>
  </conditionalFormatting>
  <conditionalFormatting sqref="E26">
    <cfRule type="expression" dxfId="449" priority="13">
      <formula>#REF!="label"</formula>
    </cfRule>
  </conditionalFormatting>
  <conditionalFormatting sqref="D27">
    <cfRule type="expression" dxfId="448" priority="5">
      <formula>#REF!="label"</formula>
    </cfRule>
  </conditionalFormatting>
  <conditionalFormatting sqref="D27">
    <cfRule type="expression" dxfId="447" priority="6">
      <formula>#REF!="popup"</formula>
    </cfRule>
    <cfRule type="expression" dxfId="446" priority="7">
      <formula>#REF!="switchTo"</formula>
    </cfRule>
    <cfRule type="expression" dxfId="445" priority="8">
      <formula>#REF!="wait"</formula>
    </cfRule>
  </conditionalFormatting>
  <conditionalFormatting sqref="E27">
    <cfRule type="expression" dxfId="444" priority="1">
      <formula>#REF!="label"</formula>
    </cfRule>
  </conditionalFormatting>
  <conditionalFormatting sqref="E27">
    <cfRule type="expression" dxfId="443" priority="2">
      <formula>#REF!="popup"</formula>
    </cfRule>
    <cfRule type="expression" dxfId="442" priority="3">
      <formula>#REF!="switchTo"</formula>
    </cfRule>
    <cfRule type="expression" dxfId="441" priority="4">
      <formula>#REF!="wait"</formula>
    </cfRule>
  </conditionalFormatting>
  <conditionalFormatting sqref="B26">
    <cfRule type="expression" dxfId="440" priority="21">
      <formula>#REF!="label"</formula>
    </cfRule>
  </conditionalFormatting>
  <conditionalFormatting sqref="B26">
    <cfRule type="expression" dxfId="439" priority="22">
      <formula>#REF!="popup"</formula>
    </cfRule>
    <cfRule type="expression" dxfId="438" priority="23">
      <formula>#REF!="switchTo"</formula>
    </cfRule>
    <cfRule type="expression" dxfId="437" priority="24">
      <formula>#REF!="wait"</formula>
    </cfRule>
  </conditionalFormatting>
  <conditionalFormatting sqref="B27">
    <cfRule type="expression" dxfId="436" priority="9">
      <formula>#REF!="label"</formula>
    </cfRule>
  </conditionalFormatting>
  <conditionalFormatting sqref="B27">
    <cfRule type="expression" dxfId="435" priority="10">
      <formula>#REF!="popup"</formula>
    </cfRule>
    <cfRule type="expression" dxfId="434" priority="11">
      <formula>#REF!="switchTo"</formula>
    </cfRule>
    <cfRule type="expression" dxfId="433" priority="12">
      <formula>#REF!="wait"</formula>
    </cfRule>
  </conditionalFormatting>
  <hyperlinks>
    <hyperlink ref="E12" r:id="rId1" xr:uid="{00000000-0004-0000-0200-000000000000}"/>
    <hyperlink ref="E48" r:id="rId2" xr:uid="{00000000-0004-0000-0200-000001000000}"/>
  </hyperlinks>
  <pageMargins left="0.7" right="0.7" top="0.75" bottom="0.75" header="0.3" footer="0.3"/>
  <pageSetup paperSize="9" orientation="portrait"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8173D-0A82-49BD-990B-67D0640670D4}">
  <sheetPr codeName="Sheet4"/>
  <dimension ref="A1:F132"/>
  <sheetViews>
    <sheetView zoomScale="85" zoomScaleNormal="8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120" sqref="C120"/>
    </sheetView>
  </sheetViews>
  <sheetFormatPr defaultRowHeight="18"/>
  <cols>
    <col min="1" max="1" width="13.8984375" customWidth="1"/>
    <col min="2" max="2" width="11.59765625" style="2" customWidth="1"/>
    <col min="3" max="3" width="38.8984375" style="2" customWidth="1"/>
    <col min="4" max="4" width="37.3984375" style="11" customWidth="1"/>
    <col min="5" max="5" width="8.5" style="2" customWidth="1"/>
    <col min="6" max="6" width="24.5" customWidth="1"/>
  </cols>
  <sheetData>
    <row r="1" spans="1:6">
      <c r="A1" s="8" t="s">
        <v>19</v>
      </c>
      <c r="B1" s="9"/>
      <c r="C1" s="9"/>
      <c r="D1" s="13" t="s">
        <v>68</v>
      </c>
      <c r="E1" s="9" t="s">
        <v>69</v>
      </c>
      <c r="F1" s="2">
        <f>COUNTA(B:B)-9</f>
        <v>117</v>
      </c>
    </row>
    <row r="2" spans="1:6" ht="19.2">
      <c r="A2" s="20" t="s">
        <v>21</v>
      </c>
      <c r="B2" s="2" t="s">
        <v>123</v>
      </c>
      <c r="C2" s="7" t="str">
        <f>"# 処理待ち時間: "&amp;(B2/1000) &amp;"秒"</f>
        <v># 処理待ち時間: 0.5秒</v>
      </c>
      <c r="D2" s="36" t="s">
        <v>195</v>
      </c>
      <c r="E2" s="2" t="s">
        <v>70</v>
      </c>
    </row>
    <row r="3" spans="1:6">
      <c r="A3" s="20" t="s">
        <v>136</v>
      </c>
      <c r="B3" s="2" t="s">
        <v>152</v>
      </c>
      <c r="C3" t="s">
        <v>261</v>
      </c>
      <c r="D3" s="11" t="str">
        <f ca="1">D2&amp;TEXT(NOW(),"YYYYMMDDHHmmss")</f>
        <v>1800_Office Supply(WH)20210706130728</v>
      </c>
    </row>
    <row r="4" spans="1:6">
      <c r="A4" s="20" t="s">
        <v>89</v>
      </c>
      <c r="B4" s="2" t="s">
        <v>137</v>
      </c>
      <c r="C4" t="s">
        <v>262</v>
      </c>
    </row>
    <row r="5" spans="1:6" hidden="1"/>
    <row r="6" spans="1:6" hidden="1">
      <c r="A6" s="1"/>
    </row>
    <row r="7" spans="1:6" hidden="1">
      <c r="A7" s="1"/>
    </row>
    <row r="8" spans="1:6" hidden="1">
      <c r="A8" s="1"/>
    </row>
    <row r="9" spans="1:6">
      <c r="A9" s="8" t="s">
        <v>20</v>
      </c>
      <c r="B9" s="9"/>
      <c r="C9" s="9"/>
      <c r="D9" s="13"/>
      <c r="E9" s="9"/>
      <c r="F9" s="9"/>
    </row>
    <row r="10" spans="1:6">
      <c r="A10" s="1" t="s">
        <v>22</v>
      </c>
      <c r="B10" s="3" t="s">
        <v>15</v>
      </c>
      <c r="C10" s="4" t="s">
        <v>16</v>
      </c>
      <c r="D10" s="10" t="s">
        <v>38</v>
      </c>
      <c r="E10" s="4" t="s">
        <v>116</v>
      </c>
      <c r="F10" s="4" t="s">
        <v>17</v>
      </c>
    </row>
    <row r="11" spans="1:6">
      <c r="A11" t="str">
        <f>"step"&amp;ROW()-10</f>
        <v>step1</v>
      </c>
      <c r="B11" s="2" t="s">
        <v>91</v>
      </c>
      <c r="C11" s="5" t="s">
        <v>94</v>
      </c>
      <c r="D11" s="11">
        <v>1</v>
      </c>
      <c r="E11" s="5"/>
      <c r="F11" s="5"/>
    </row>
    <row r="12" spans="1:6">
      <c r="A12" t="str">
        <f t="shared" ref="A12:A75" si="0">"step"&amp;ROW()-10</f>
        <v>step2</v>
      </c>
      <c r="B12" s="2" t="s">
        <v>1</v>
      </c>
      <c r="C12" s="6" t="s">
        <v>265</v>
      </c>
      <c r="E12" s="5"/>
      <c r="F12" s="5" t="s">
        <v>51</v>
      </c>
    </row>
    <row r="13" spans="1:6">
      <c r="A13" t="str">
        <f t="shared" si="0"/>
        <v>step3</v>
      </c>
      <c r="B13" s="2" t="s">
        <v>1</v>
      </c>
      <c r="C13" s="5" t="s">
        <v>2</v>
      </c>
      <c r="E13" s="5"/>
      <c r="F13" s="5" t="s">
        <v>50</v>
      </c>
    </row>
    <row r="14" spans="1:6">
      <c r="A14" t="str">
        <f t="shared" si="0"/>
        <v>step4</v>
      </c>
      <c r="B14" s="2" t="s">
        <v>64</v>
      </c>
      <c r="C14" s="5"/>
      <c r="D14" s="11">
        <v>1000</v>
      </c>
      <c r="E14" s="5"/>
      <c r="F14" s="5"/>
    </row>
    <row r="15" spans="1:6">
      <c r="A15" t="str">
        <f t="shared" si="0"/>
        <v>step5</v>
      </c>
      <c r="B15" s="2" t="s">
        <v>3</v>
      </c>
      <c r="C15" s="5" t="s">
        <v>4</v>
      </c>
      <c r="D15" s="11" t="s">
        <v>73</v>
      </c>
      <c r="E15" s="5"/>
      <c r="F15" s="5"/>
    </row>
    <row r="16" spans="1:6">
      <c r="A16" t="str">
        <f t="shared" si="0"/>
        <v>step6</v>
      </c>
      <c r="B16" s="2" t="s">
        <v>74</v>
      </c>
      <c r="C16" s="5" t="s">
        <v>23</v>
      </c>
      <c r="D16" s="11" t="s">
        <v>39</v>
      </c>
      <c r="E16" s="5"/>
      <c r="F16" s="5" t="s">
        <v>52</v>
      </c>
    </row>
    <row r="17" spans="1:6">
      <c r="A17" t="str">
        <f t="shared" si="0"/>
        <v>step7</v>
      </c>
      <c r="B17" s="2" t="s">
        <v>64</v>
      </c>
      <c r="C17" s="5"/>
      <c r="D17" s="11">
        <v>1000</v>
      </c>
      <c r="E17" s="5"/>
      <c r="F17" s="5"/>
    </row>
    <row r="18" spans="1:6">
      <c r="A18" t="str">
        <f t="shared" si="0"/>
        <v>step8</v>
      </c>
      <c r="B18" s="2" t="s">
        <v>6</v>
      </c>
      <c r="C18" s="5" t="s">
        <v>7</v>
      </c>
      <c r="E18" s="5"/>
      <c r="F18" s="5"/>
    </row>
    <row r="19" spans="1:6">
      <c r="A19" t="str">
        <f t="shared" si="0"/>
        <v>step9</v>
      </c>
      <c r="B19" s="17" t="s">
        <v>98</v>
      </c>
      <c r="C19" s="18" t="s">
        <v>100</v>
      </c>
      <c r="D19" s="19"/>
      <c r="F19" s="2"/>
    </row>
    <row r="20" spans="1:6">
      <c r="A20" t="str">
        <f t="shared" si="0"/>
        <v>step10</v>
      </c>
      <c r="B20" s="2" t="s">
        <v>0</v>
      </c>
      <c r="C20" s="6" t="s">
        <v>9</v>
      </c>
      <c r="D20" s="12"/>
      <c r="E20" s="5"/>
      <c r="F20" s="5" t="s">
        <v>18</v>
      </c>
    </row>
    <row r="21" spans="1:6">
      <c r="A21" t="str">
        <f t="shared" si="0"/>
        <v>step11</v>
      </c>
      <c r="B21" s="2" t="s">
        <v>10</v>
      </c>
      <c r="C21" s="5" t="s">
        <v>11</v>
      </c>
      <c r="D21" s="11" t="s">
        <v>40</v>
      </c>
      <c r="E21" s="5"/>
      <c r="F21" s="5"/>
    </row>
    <row r="22" spans="1:6">
      <c r="A22" t="str">
        <f t="shared" si="0"/>
        <v>step12</v>
      </c>
      <c r="B22" s="2" t="s">
        <v>10</v>
      </c>
      <c r="C22" s="5" t="s">
        <v>11</v>
      </c>
      <c r="D22" s="16" t="s">
        <v>43</v>
      </c>
      <c r="E22" s="5"/>
      <c r="F22" s="5"/>
    </row>
    <row r="23" spans="1:6">
      <c r="A23" t="str">
        <f t="shared" si="0"/>
        <v>step13</v>
      </c>
      <c r="B23" s="2" t="s">
        <v>92</v>
      </c>
      <c r="C23" s="5" t="s">
        <v>194</v>
      </c>
      <c r="F23" s="2" t="s">
        <v>101</v>
      </c>
    </row>
    <row r="24" spans="1:6">
      <c r="A24" t="str">
        <f t="shared" si="0"/>
        <v>step14</v>
      </c>
      <c r="B24" s="2" t="s">
        <v>5</v>
      </c>
      <c r="C24" s="5" t="s">
        <v>12</v>
      </c>
      <c r="E24" s="5"/>
      <c r="F24" s="5" t="s">
        <v>55</v>
      </c>
    </row>
    <row r="25" spans="1:6">
      <c r="A25" t="str">
        <f t="shared" si="0"/>
        <v>step15</v>
      </c>
      <c r="B25" s="2" t="s">
        <v>6</v>
      </c>
      <c r="C25" s="5" t="s">
        <v>53</v>
      </c>
      <c r="D25" s="5" t="s">
        <v>54</v>
      </c>
      <c r="E25" s="5"/>
      <c r="F25" s="5" t="s">
        <v>56</v>
      </c>
    </row>
    <row r="26" spans="1:6">
      <c r="A26" t="str">
        <f t="shared" si="0"/>
        <v>step16</v>
      </c>
      <c r="B26" s="2" t="s">
        <v>6</v>
      </c>
      <c r="C26" s="5" t="s">
        <v>14</v>
      </c>
      <c r="E26" s="2" t="s">
        <v>117</v>
      </c>
      <c r="F26" s="5" t="s">
        <v>57</v>
      </c>
    </row>
    <row r="27" spans="1:6">
      <c r="A27" t="str">
        <f t="shared" si="0"/>
        <v>step17</v>
      </c>
      <c r="B27" s="17" t="s">
        <v>6</v>
      </c>
      <c r="C27" s="18" t="s">
        <v>115</v>
      </c>
      <c r="D27" s="19"/>
      <c r="E27" s="2" t="s">
        <v>117</v>
      </c>
      <c r="F27" s="2" t="s">
        <v>156</v>
      </c>
    </row>
    <row r="28" spans="1:6">
      <c r="A28" t="str">
        <f t="shared" si="0"/>
        <v>step18</v>
      </c>
      <c r="B28" s="17" t="s">
        <v>98</v>
      </c>
      <c r="C28" s="18" t="s">
        <v>112</v>
      </c>
      <c r="D28" s="19"/>
      <c r="F28" s="2"/>
    </row>
    <row r="29" spans="1:6">
      <c r="A29" t="str">
        <f t="shared" si="0"/>
        <v>step19</v>
      </c>
      <c r="B29" s="17" t="s">
        <v>110</v>
      </c>
      <c r="C29" s="18" t="s">
        <v>114</v>
      </c>
      <c r="D29" s="19" t="str">
        <f>$D$2</f>
        <v>1800_Office Supply(WH)</v>
      </c>
      <c r="F29" s="2"/>
    </row>
    <row r="30" spans="1:6">
      <c r="A30" t="str">
        <f t="shared" si="0"/>
        <v>step20</v>
      </c>
      <c r="B30" s="17" t="s">
        <v>6</v>
      </c>
      <c r="C30" s="18" t="s">
        <v>115</v>
      </c>
      <c r="D30" s="19"/>
      <c r="E30" s="2" t="s">
        <v>117</v>
      </c>
      <c r="F30" s="2"/>
    </row>
    <row r="31" spans="1:6">
      <c r="A31" t="str">
        <f t="shared" si="0"/>
        <v>step21</v>
      </c>
      <c r="B31" s="17" t="s">
        <v>113</v>
      </c>
      <c r="C31" s="18" t="s">
        <v>112</v>
      </c>
      <c r="D31" s="19"/>
      <c r="F31" s="2"/>
    </row>
    <row r="32" spans="1:6">
      <c r="A32" t="str">
        <f t="shared" si="0"/>
        <v>step22</v>
      </c>
      <c r="B32" s="17" t="s">
        <v>98</v>
      </c>
      <c r="C32" s="18" t="s">
        <v>111</v>
      </c>
      <c r="D32" s="19"/>
      <c r="F32" s="2"/>
    </row>
    <row r="33" spans="1:6">
      <c r="A33" t="str">
        <f t="shared" si="0"/>
        <v>step23</v>
      </c>
      <c r="B33" s="17" t="s">
        <v>6</v>
      </c>
      <c r="C33" s="18" t="s">
        <v>80</v>
      </c>
      <c r="D33" s="19" t="str">
        <f>$D$2</f>
        <v>1800_Office Supply(WH)</v>
      </c>
      <c r="E33" s="2" t="s">
        <v>117</v>
      </c>
      <c r="F33" s="2" t="s">
        <v>75</v>
      </c>
    </row>
    <row r="34" spans="1:6">
      <c r="A34" t="str">
        <f t="shared" si="0"/>
        <v>step24</v>
      </c>
      <c r="B34" s="2" t="s">
        <v>64</v>
      </c>
      <c r="C34" s="5"/>
      <c r="D34" s="11">
        <v>1000</v>
      </c>
      <c r="E34" s="5"/>
      <c r="F34" s="5"/>
    </row>
    <row r="35" spans="1:6">
      <c r="A35" t="str">
        <f t="shared" si="0"/>
        <v>step25</v>
      </c>
      <c r="B35" s="14" t="s">
        <v>10</v>
      </c>
      <c r="C35" s="15" t="s">
        <v>24</v>
      </c>
      <c r="D35" s="16"/>
      <c r="F35" s="18" t="s">
        <v>44</v>
      </c>
    </row>
    <row r="36" spans="1:6">
      <c r="A36" t="str">
        <f t="shared" si="0"/>
        <v>step26</v>
      </c>
      <c r="B36" s="14" t="s">
        <v>10</v>
      </c>
      <c r="C36" s="15" t="s">
        <v>11</v>
      </c>
      <c r="D36" s="16" t="s">
        <v>43</v>
      </c>
      <c r="F36" s="2" t="s">
        <v>104</v>
      </c>
    </row>
    <row r="37" spans="1:6">
      <c r="A37" t="str">
        <f t="shared" si="0"/>
        <v>step27</v>
      </c>
      <c r="B37" s="14" t="s">
        <v>10</v>
      </c>
      <c r="C37" s="15" t="s">
        <v>11</v>
      </c>
      <c r="D37" s="16" t="s">
        <v>43</v>
      </c>
      <c r="E37" s="14"/>
      <c r="F37" s="14"/>
    </row>
    <row r="38" spans="1:6">
      <c r="A38" s="20" t="s">
        <v>142</v>
      </c>
      <c r="B38" s="20" t="s">
        <v>142</v>
      </c>
      <c r="C38" s="18"/>
      <c r="D38" s="19"/>
      <c r="E38" s="17"/>
      <c r="F38" s="18"/>
    </row>
    <row r="39" spans="1:6">
      <c r="A39" t="str">
        <f t="shared" si="0"/>
        <v>step29</v>
      </c>
      <c r="B39" s="2" t="s">
        <v>6</v>
      </c>
      <c r="C39" s="17" t="s">
        <v>63</v>
      </c>
      <c r="D39" s="19"/>
      <c r="E39"/>
      <c r="F39" s="17" t="s">
        <v>62</v>
      </c>
    </row>
    <row r="40" spans="1:6">
      <c r="A40" t="str">
        <f t="shared" si="0"/>
        <v>step30</v>
      </c>
      <c r="B40" s="14" t="s">
        <v>10</v>
      </c>
      <c r="C40" s="15" t="s">
        <v>24</v>
      </c>
      <c r="D40" s="16"/>
      <c r="E40" s="18"/>
      <c r="F40" s="18" t="s">
        <v>44</v>
      </c>
    </row>
    <row r="41" spans="1:6">
      <c r="A41" t="str">
        <f t="shared" si="0"/>
        <v>step31</v>
      </c>
      <c r="B41" s="14" t="s">
        <v>10</v>
      </c>
      <c r="C41" s="15" t="s">
        <v>11</v>
      </c>
      <c r="D41" s="16">
        <v>0</v>
      </c>
      <c r="E41" s="14"/>
      <c r="F41" s="14"/>
    </row>
    <row r="42" spans="1:6">
      <c r="A42" t="str">
        <f t="shared" si="0"/>
        <v>step32</v>
      </c>
      <c r="B42" s="14" t="s">
        <v>10</v>
      </c>
      <c r="C42" s="15" t="s">
        <v>11</v>
      </c>
      <c r="D42" s="16">
        <v>1</v>
      </c>
      <c r="F42" s="2" t="s">
        <v>61</v>
      </c>
    </row>
    <row r="43" spans="1:6">
      <c r="A43" t="str">
        <f t="shared" si="0"/>
        <v>step33</v>
      </c>
      <c r="B43" s="2" t="s">
        <v>64</v>
      </c>
      <c r="C43" s="5"/>
      <c r="D43" s="11">
        <v>1000</v>
      </c>
      <c r="E43" s="5"/>
      <c r="F43" s="5"/>
    </row>
    <row r="44" spans="1:6">
      <c r="A44" t="str">
        <f t="shared" si="0"/>
        <v>step34</v>
      </c>
      <c r="B44" s="2" t="s">
        <v>27</v>
      </c>
      <c r="C44" s="2" t="s">
        <v>25</v>
      </c>
      <c r="D44" s="11" t="str">
        <f ca="1">$D$3</f>
        <v>1800_Office Supply(WH)20210706130728</v>
      </c>
      <c r="F44" s="2" t="s">
        <v>78</v>
      </c>
    </row>
    <row r="45" spans="1:6">
      <c r="A45" t="str">
        <f t="shared" si="0"/>
        <v>step35</v>
      </c>
      <c r="B45" s="2" t="s">
        <v>27</v>
      </c>
      <c r="C45" s="2" t="s">
        <v>26</v>
      </c>
      <c r="D45" s="11" t="str">
        <f ca="1" xml:space="preserve"> C45&amp;":"&amp;$D$3</f>
        <v>name=draft_comment:1800_Office Supply(WH)20210706130728</v>
      </c>
      <c r="F45" s="2"/>
    </row>
    <row r="46" spans="1:6">
      <c r="A46" t="str">
        <f t="shared" si="0"/>
        <v>step36</v>
      </c>
      <c r="B46" s="2" t="s">
        <v>27</v>
      </c>
      <c r="C46" s="2" t="s">
        <v>28</v>
      </c>
      <c r="D46" s="11" t="str">
        <f ca="1" xml:space="preserve"> $D$3</f>
        <v>1800_Office Supply(WH)20210706130728</v>
      </c>
      <c r="F46" s="2"/>
    </row>
    <row r="47" spans="1:6">
      <c r="A47" t="str">
        <f t="shared" si="0"/>
        <v>step37</v>
      </c>
      <c r="B47" s="2" t="s">
        <v>27</v>
      </c>
      <c r="C47" s="2" t="s">
        <v>37</v>
      </c>
      <c r="D47" s="11" t="str">
        <f ca="1" xml:space="preserve"> C47&amp;":"&amp;$D$3</f>
        <v>name=mail_body:1800_Office Supply(WH)20210706130728</v>
      </c>
      <c r="F47" s="2"/>
    </row>
    <row r="48" spans="1:6">
      <c r="A48" t="str">
        <f t="shared" si="0"/>
        <v>step38</v>
      </c>
      <c r="B48" s="17" t="s">
        <v>59</v>
      </c>
      <c r="C48" s="17" t="s">
        <v>29</v>
      </c>
      <c r="D48" s="19">
        <v>1000</v>
      </c>
      <c r="E48" s="17"/>
      <c r="F48" s="17" t="s">
        <v>58</v>
      </c>
    </row>
    <row r="49" spans="1:6">
      <c r="A49" t="str">
        <f t="shared" si="0"/>
        <v>step39</v>
      </c>
      <c r="B49" s="2" t="s">
        <v>64</v>
      </c>
      <c r="C49" s="5"/>
      <c r="D49" s="11">
        <v>1000</v>
      </c>
      <c r="E49" s="5"/>
      <c r="F49" s="5"/>
    </row>
    <row r="50" spans="1:6">
      <c r="A50" t="str">
        <f t="shared" si="0"/>
        <v>step40</v>
      </c>
      <c r="B50" s="17" t="s">
        <v>6</v>
      </c>
      <c r="C50" s="17" t="s">
        <v>29</v>
      </c>
      <c r="D50" s="19"/>
      <c r="E50" s="2" t="s">
        <v>117</v>
      </c>
      <c r="F50" s="2"/>
    </row>
    <row r="51" spans="1:6">
      <c r="A51" t="str">
        <f t="shared" si="0"/>
        <v>step41</v>
      </c>
      <c r="B51" s="2" t="s">
        <v>6</v>
      </c>
      <c r="C51" s="5" t="s">
        <v>30</v>
      </c>
      <c r="E51" s="2" t="s">
        <v>117</v>
      </c>
      <c r="F51" s="2"/>
    </row>
    <row r="52" spans="1:6">
      <c r="A52" t="str">
        <f t="shared" si="0"/>
        <v>step42</v>
      </c>
      <c r="B52" s="2" t="s">
        <v>6</v>
      </c>
      <c r="C52" s="5" t="s">
        <v>31</v>
      </c>
      <c r="E52" s="2" t="s">
        <v>117</v>
      </c>
      <c r="F52" s="2"/>
    </row>
    <row r="53" spans="1:6">
      <c r="A53" t="str">
        <f t="shared" si="0"/>
        <v>step43</v>
      </c>
      <c r="B53" s="2" t="s">
        <v>6</v>
      </c>
      <c r="C53" s="5" t="s">
        <v>32</v>
      </c>
      <c r="E53" s="2" t="s">
        <v>117</v>
      </c>
      <c r="F53" s="2"/>
    </row>
    <row r="54" spans="1:6">
      <c r="A54" t="str">
        <f t="shared" si="0"/>
        <v>step44</v>
      </c>
      <c r="B54" s="2" t="s">
        <v>6</v>
      </c>
      <c r="C54" s="5" t="s">
        <v>33</v>
      </c>
      <c r="E54" s="2" t="s">
        <v>117</v>
      </c>
      <c r="F54" s="2"/>
    </row>
    <row r="55" spans="1:6">
      <c r="A55" t="str">
        <f t="shared" si="0"/>
        <v>step45</v>
      </c>
      <c r="B55" s="2" t="s">
        <v>6</v>
      </c>
      <c r="C55" s="5" t="s">
        <v>34</v>
      </c>
      <c r="F55" s="2" t="s">
        <v>66</v>
      </c>
    </row>
    <row r="56" spans="1:6">
      <c r="A56" t="str">
        <f t="shared" si="0"/>
        <v>step46</v>
      </c>
      <c r="B56" s="2" t="s">
        <v>6</v>
      </c>
      <c r="C56" s="2" t="s">
        <v>35</v>
      </c>
      <c r="E56" s="2" t="s">
        <v>117</v>
      </c>
      <c r="F56" s="2"/>
    </row>
    <row r="57" spans="1:6">
      <c r="A57" t="str">
        <f t="shared" si="0"/>
        <v>step47</v>
      </c>
      <c r="B57" s="14" t="s">
        <v>10</v>
      </c>
      <c r="C57" s="14" t="s">
        <v>4</v>
      </c>
      <c r="D57" s="16" t="s">
        <v>42</v>
      </c>
      <c r="E57" s="14"/>
      <c r="F57" s="14" t="s">
        <v>36</v>
      </c>
    </row>
    <row r="58" spans="1:6">
      <c r="A58" t="str">
        <f t="shared" si="0"/>
        <v>step48</v>
      </c>
      <c r="B58" s="14" t="s">
        <v>10</v>
      </c>
      <c r="C58" s="15" t="s">
        <v>24</v>
      </c>
      <c r="D58" s="16"/>
      <c r="E58" s="18"/>
      <c r="F58" s="18" t="s">
        <v>44</v>
      </c>
    </row>
    <row r="59" spans="1:6">
      <c r="A59" t="str">
        <f t="shared" si="0"/>
        <v>step49</v>
      </c>
      <c r="B59" s="14" t="s">
        <v>10</v>
      </c>
      <c r="C59" s="15" t="s">
        <v>11</v>
      </c>
      <c r="D59" s="16" t="s">
        <v>43</v>
      </c>
      <c r="F59" s="2"/>
    </row>
    <row r="60" spans="1:6">
      <c r="A60" t="str">
        <f t="shared" si="0"/>
        <v>step50</v>
      </c>
      <c r="B60" s="14" t="s">
        <v>10</v>
      </c>
      <c r="C60" s="15" t="s">
        <v>11</v>
      </c>
      <c r="D60" s="16" t="s">
        <v>41</v>
      </c>
      <c r="F60" s="2" t="s">
        <v>61</v>
      </c>
    </row>
    <row r="61" spans="1:6">
      <c r="A61" t="str">
        <f t="shared" si="0"/>
        <v>step51</v>
      </c>
      <c r="B61" s="17" t="s">
        <v>59</v>
      </c>
      <c r="C61" s="17" t="s">
        <v>47</v>
      </c>
      <c r="D61" s="19">
        <v>1000</v>
      </c>
      <c r="E61" s="17"/>
      <c r="F61" s="17" t="s">
        <v>60</v>
      </c>
    </row>
    <row r="62" spans="1:6">
      <c r="A62" t="str">
        <f t="shared" si="0"/>
        <v>step52</v>
      </c>
      <c r="B62" s="2" t="s">
        <v>64</v>
      </c>
      <c r="C62" s="5"/>
      <c r="D62" s="11">
        <v>1000</v>
      </c>
      <c r="E62" s="5"/>
      <c r="F62" s="5"/>
    </row>
    <row r="63" spans="1:6">
      <c r="A63" t="str">
        <f t="shared" si="0"/>
        <v>step53</v>
      </c>
      <c r="B63" s="2" t="s">
        <v>45</v>
      </c>
      <c r="C63" s="2" t="s">
        <v>48</v>
      </c>
      <c r="D63" s="11" t="s">
        <v>71</v>
      </c>
      <c r="F63" s="2"/>
    </row>
    <row r="64" spans="1:6">
      <c r="A64" t="str">
        <f t="shared" si="0"/>
        <v>step54</v>
      </c>
      <c r="B64" s="2" t="s">
        <v>6</v>
      </c>
      <c r="C64" s="2" t="s">
        <v>34</v>
      </c>
      <c r="F64" s="2"/>
    </row>
    <row r="65" spans="1:6">
      <c r="A65" t="str">
        <f t="shared" si="0"/>
        <v>step55</v>
      </c>
      <c r="B65" s="2" t="s">
        <v>45</v>
      </c>
      <c r="C65" s="2" t="s">
        <v>48</v>
      </c>
      <c r="D65" s="11" t="s">
        <v>71</v>
      </c>
      <c r="F65" s="2"/>
    </row>
    <row r="66" spans="1:6">
      <c r="A66" t="str">
        <f t="shared" si="0"/>
        <v>step56</v>
      </c>
      <c r="B66" s="17" t="s">
        <v>74</v>
      </c>
      <c r="C66" s="2" t="s">
        <v>49</v>
      </c>
      <c r="D66" s="11" t="s">
        <v>72</v>
      </c>
      <c r="F66" s="2"/>
    </row>
    <row r="67" spans="1:6">
      <c r="A67" t="str">
        <f t="shared" si="0"/>
        <v>step57</v>
      </c>
      <c r="B67" s="2" t="s">
        <v>6</v>
      </c>
      <c r="C67" s="2" t="s">
        <v>34</v>
      </c>
      <c r="F67" s="2"/>
    </row>
    <row r="68" spans="1:6">
      <c r="A68" t="str">
        <f t="shared" si="0"/>
        <v>step58</v>
      </c>
      <c r="B68" s="2" t="s">
        <v>6</v>
      </c>
      <c r="C68" s="2" t="s">
        <v>35</v>
      </c>
      <c r="F68" s="2"/>
    </row>
    <row r="69" spans="1:6">
      <c r="A69" t="str">
        <f t="shared" si="0"/>
        <v>step59</v>
      </c>
      <c r="B69" s="14" t="s">
        <v>10</v>
      </c>
      <c r="C69" s="14" t="s">
        <v>4</v>
      </c>
      <c r="D69" s="16" t="s">
        <v>42</v>
      </c>
      <c r="E69" s="14"/>
      <c r="F69" s="14" t="s">
        <v>36</v>
      </c>
    </row>
    <row r="70" spans="1:6">
      <c r="A70" t="str">
        <f t="shared" si="0"/>
        <v>step60</v>
      </c>
      <c r="B70" s="14" t="s">
        <v>10</v>
      </c>
      <c r="C70" s="15" t="s">
        <v>11</v>
      </c>
      <c r="D70" s="16" t="s">
        <v>43</v>
      </c>
      <c r="F70" s="2"/>
    </row>
    <row r="71" spans="1:6">
      <c r="A71" t="str">
        <f t="shared" si="0"/>
        <v>step61</v>
      </c>
      <c r="B71" s="14" t="s">
        <v>10</v>
      </c>
      <c r="C71" s="15" t="s">
        <v>11</v>
      </c>
      <c r="D71" s="16" t="s">
        <v>41</v>
      </c>
      <c r="F71" s="2" t="s">
        <v>61</v>
      </c>
    </row>
    <row r="72" spans="1:6">
      <c r="A72" t="str">
        <f t="shared" si="0"/>
        <v>step62</v>
      </c>
      <c r="B72" s="2" t="s">
        <v>6</v>
      </c>
      <c r="C72" s="2" t="s">
        <v>65</v>
      </c>
      <c r="D72" s="19"/>
      <c r="F72" s="2"/>
    </row>
    <row r="73" spans="1:6">
      <c r="A73" t="str">
        <f t="shared" si="0"/>
        <v>step63</v>
      </c>
      <c r="B73" s="14" t="s">
        <v>97</v>
      </c>
      <c r="C73" s="15" t="s">
        <v>67</v>
      </c>
      <c r="F73" s="2"/>
    </row>
    <row r="74" spans="1:6">
      <c r="A74" t="str">
        <f t="shared" si="0"/>
        <v>step64</v>
      </c>
      <c r="B74" s="2" t="s">
        <v>64</v>
      </c>
      <c r="D74" s="11">
        <v>1000</v>
      </c>
      <c r="F74" s="2"/>
    </row>
    <row r="75" spans="1:6">
      <c r="A75" t="str">
        <f t="shared" si="0"/>
        <v>step65</v>
      </c>
      <c r="B75" s="2" t="s">
        <v>45</v>
      </c>
      <c r="C75" s="5"/>
      <c r="D75" s="11" t="s">
        <v>46</v>
      </c>
      <c r="F75" s="2"/>
    </row>
    <row r="76" spans="1:6">
      <c r="A76" t="str">
        <f t="shared" ref="A76:A132" si="1">"step"&amp;ROW()-10</f>
        <v>step66</v>
      </c>
      <c r="B76" s="14" t="s">
        <v>10</v>
      </c>
      <c r="C76" s="14" t="s">
        <v>4</v>
      </c>
      <c r="D76" s="16" t="s">
        <v>42</v>
      </c>
      <c r="E76" s="14"/>
      <c r="F76" s="14" t="s">
        <v>36</v>
      </c>
    </row>
    <row r="77" spans="1:6">
      <c r="A77" s="20" t="str">
        <f t="shared" si="1"/>
        <v>step67</v>
      </c>
      <c r="B77" s="14" t="s">
        <v>10</v>
      </c>
      <c r="C77" s="15" t="s">
        <v>24</v>
      </c>
      <c r="D77" s="16"/>
      <c r="E77" s="18"/>
      <c r="F77" s="18"/>
    </row>
    <row r="78" spans="1:6">
      <c r="A78" t="str">
        <f t="shared" si="1"/>
        <v>step68</v>
      </c>
      <c r="B78" s="14" t="s">
        <v>10</v>
      </c>
      <c r="C78" s="15" t="s">
        <v>11</v>
      </c>
      <c r="D78" s="16">
        <v>0</v>
      </c>
      <c r="F78" s="2"/>
    </row>
    <row r="79" spans="1:6">
      <c r="A79" t="str">
        <f t="shared" si="1"/>
        <v>step69</v>
      </c>
      <c r="B79" s="17" t="s">
        <v>91</v>
      </c>
      <c r="C79" s="32" t="s">
        <v>135</v>
      </c>
      <c r="D79" s="19">
        <v>0</v>
      </c>
      <c r="E79" s="17"/>
      <c r="F79" s="17"/>
    </row>
    <row r="80" spans="1:6" ht="36">
      <c r="A80" t="str">
        <f t="shared" si="1"/>
        <v>step70</v>
      </c>
      <c r="B80" s="2" t="s">
        <v>125</v>
      </c>
      <c r="C80" s="31" t="s">
        <v>147</v>
      </c>
      <c r="F80" s="2" t="s">
        <v>95</v>
      </c>
    </row>
    <row r="81" spans="1:6" ht="36">
      <c r="A81" t="str">
        <f t="shared" si="1"/>
        <v>step71</v>
      </c>
      <c r="B81" s="2" t="s">
        <v>125</v>
      </c>
      <c r="C81" s="31" t="s">
        <v>132</v>
      </c>
      <c r="D81" s="19"/>
      <c r="E81" s="17"/>
      <c r="F81" s="17" t="s">
        <v>122</v>
      </c>
    </row>
    <row r="82" spans="1:6">
      <c r="A82" t="str">
        <f t="shared" si="1"/>
        <v>step72</v>
      </c>
      <c r="B82" s="17" t="s">
        <v>98</v>
      </c>
      <c r="C82" s="32" t="s">
        <v>131</v>
      </c>
      <c r="D82" s="19"/>
      <c r="E82" s="17"/>
      <c r="F82" s="17"/>
    </row>
    <row r="83" spans="1:6">
      <c r="A83" t="str">
        <f t="shared" si="1"/>
        <v>step73</v>
      </c>
      <c r="B83" s="2" t="s">
        <v>91</v>
      </c>
      <c r="C83" s="32" t="s">
        <v>135</v>
      </c>
      <c r="D83" s="19">
        <v>1</v>
      </c>
      <c r="E83" s="17"/>
      <c r="F83" s="17"/>
    </row>
    <row r="84" spans="1:6">
      <c r="A84" t="str">
        <f t="shared" si="1"/>
        <v>step74</v>
      </c>
      <c r="B84" s="2" t="s">
        <v>92</v>
      </c>
      <c r="C84" s="5" t="s">
        <v>129</v>
      </c>
      <c r="F84" s="2" t="s">
        <v>128</v>
      </c>
    </row>
    <row r="85" spans="1:6">
      <c r="A85" t="str">
        <f t="shared" si="1"/>
        <v>step75</v>
      </c>
      <c r="B85" s="2" t="s">
        <v>92</v>
      </c>
      <c r="C85" s="5" t="s">
        <v>154</v>
      </c>
      <c r="F85" s="2" t="s">
        <v>128</v>
      </c>
    </row>
    <row r="86" spans="1:6">
      <c r="A86" t="str">
        <f t="shared" si="1"/>
        <v>step76</v>
      </c>
      <c r="B86" s="17" t="s">
        <v>98</v>
      </c>
      <c r="C86" s="32" t="s">
        <v>153</v>
      </c>
      <c r="D86" s="19"/>
      <c r="E86" s="17"/>
      <c r="F86" s="17" t="s">
        <v>122</v>
      </c>
    </row>
    <row r="87" spans="1:6" ht="36">
      <c r="A87" t="str">
        <f t="shared" si="1"/>
        <v>step77</v>
      </c>
      <c r="B87" s="26" t="s">
        <v>6</v>
      </c>
      <c r="C87" s="31" t="s">
        <v>105</v>
      </c>
      <c r="D87" s="28"/>
      <c r="E87" s="26"/>
      <c r="F87" s="26" t="s">
        <v>76</v>
      </c>
    </row>
    <row r="88" spans="1:6">
      <c r="A88" t="str">
        <f t="shared" si="1"/>
        <v>step78</v>
      </c>
      <c r="B88" s="26" t="s">
        <v>124</v>
      </c>
      <c r="C88" s="31" t="s">
        <v>107</v>
      </c>
      <c r="D88" s="28"/>
      <c r="E88" s="26"/>
      <c r="F88" s="26" t="s">
        <v>76</v>
      </c>
    </row>
    <row r="89" spans="1:6">
      <c r="A89" t="str">
        <f t="shared" si="1"/>
        <v>step79</v>
      </c>
      <c r="B89" s="17" t="s">
        <v>98</v>
      </c>
      <c r="C89" s="32" t="s">
        <v>99</v>
      </c>
      <c r="D89" s="19"/>
      <c r="E89" s="17"/>
      <c r="F89" s="17"/>
    </row>
    <row r="90" spans="1:6" ht="36">
      <c r="A90" t="str">
        <f t="shared" si="1"/>
        <v>step80</v>
      </c>
      <c r="B90" s="2" t="s">
        <v>6</v>
      </c>
      <c r="C90" s="30" t="s">
        <v>106</v>
      </c>
      <c r="F90" s="2" t="s">
        <v>93</v>
      </c>
    </row>
    <row r="91" spans="1:6">
      <c r="A91" t="str">
        <f t="shared" si="1"/>
        <v>step81</v>
      </c>
      <c r="B91" s="26" t="s">
        <v>124</v>
      </c>
      <c r="C91" s="27" t="s">
        <v>107</v>
      </c>
      <c r="D91" s="28"/>
      <c r="E91" s="26"/>
      <c r="F91" s="26" t="s">
        <v>76</v>
      </c>
    </row>
    <row r="92" spans="1:6">
      <c r="A92" t="str">
        <f t="shared" si="1"/>
        <v>step82</v>
      </c>
      <c r="B92" s="17" t="s">
        <v>98</v>
      </c>
      <c r="C92" s="18" t="s">
        <v>102</v>
      </c>
      <c r="D92" s="19"/>
      <c r="E92" s="17"/>
      <c r="F92" s="17"/>
    </row>
    <row r="93" spans="1:6">
      <c r="A93" t="str">
        <f t="shared" si="1"/>
        <v>step83</v>
      </c>
      <c r="B93" s="14" t="s">
        <v>97</v>
      </c>
      <c r="C93" s="15" t="s">
        <v>67</v>
      </c>
      <c r="F93" s="2"/>
    </row>
    <row r="94" spans="1:6">
      <c r="A94" t="str">
        <f t="shared" si="1"/>
        <v>step84</v>
      </c>
      <c r="B94" s="2" t="s">
        <v>45</v>
      </c>
      <c r="C94" s="5"/>
      <c r="D94" s="11" t="s">
        <v>46</v>
      </c>
      <c r="F94" s="2"/>
    </row>
    <row r="95" spans="1:6">
      <c r="A95" t="str">
        <f t="shared" si="1"/>
        <v>step85</v>
      </c>
      <c r="B95" s="2" t="s">
        <v>45</v>
      </c>
      <c r="C95" s="5"/>
      <c r="D95" s="11" t="s">
        <v>46</v>
      </c>
      <c r="F95" s="2"/>
    </row>
    <row r="96" spans="1:6">
      <c r="A96" t="str">
        <f t="shared" si="1"/>
        <v>step86</v>
      </c>
      <c r="B96" s="17" t="s">
        <v>98</v>
      </c>
      <c r="C96" s="18" t="s">
        <v>146</v>
      </c>
      <c r="D96" s="19"/>
      <c r="E96" s="17"/>
      <c r="F96" s="17"/>
    </row>
    <row r="97" spans="1:6">
      <c r="A97" s="20" t="str">
        <f t="shared" si="1"/>
        <v>step87</v>
      </c>
      <c r="B97" s="2" t="s">
        <v>1</v>
      </c>
      <c r="C97" s="25" t="s">
        <v>108</v>
      </c>
      <c r="F97" s="2" t="s">
        <v>77</v>
      </c>
    </row>
    <row r="98" spans="1:6">
      <c r="A98" s="20" t="str">
        <f t="shared" si="1"/>
        <v>step88</v>
      </c>
      <c r="B98" s="14" t="s">
        <v>10</v>
      </c>
      <c r="C98" s="15" t="s">
        <v>11</v>
      </c>
      <c r="D98" s="16" t="s">
        <v>40</v>
      </c>
      <c r="E98" s="18"/>
      <c r="F98" s="18"/>
    </row>
    <row r="99" spans="1:6">
      <c r="A99" s="20" t="str">
        <f t="shared" si="1"/>
        <v>step89</v>
      </c>
      <c r="B99" s="14" t="s">
        <v>10</v>
      </c>
      <c r="C99" s="15" t="s">
        <v>11</v>
      </c>
      <c r="D99" s="16">
        <v>1</v>
      </c>
      <c r="E99" s="14"/>
      <c r="F99" s="14" t="s">
        <v>90</v>
      </c>
    </row>
    <row r="100" spans="1:6" ht="36">
      <c r="A100" s="20" t="str">
        <f t="shared" si="1"/>
        <v>step90</v>
      </c>
      <c r="B100" s="17" t="s">
        <v>103</v>
      </c>
      <c r="C100" s="32" t="s">
        <v>134</v>
      </c>
      <c r="D100" s="11" t="str">
        <f ca="1">$D$3</f>
        <v>1800_Office Supply(WH)20210706130728</v>
      </c>
      <c r="F100" s="2" t="s">
        <v>148</v>
      </c>
    </row>
    <row r="101" spans="1:6">
      <c r="A101" s="20" t="str">
        <f t="shared" si="1"/>
        <v>step91</v>
      </c>
      <c r="B101" s="17" t="s">
        <v>6</v>
      </c>
      <c r="C101" s="18" t="s">
        <v>80</v>
      </c>
      <c r="D101" s="11" t="str">
        <f ca="1">$D$3</f>
        <v>1800_Office Supply(WH)20210706130728</v>
      </c>
      <c r="F101" s="2" t="s">
        <v>75</v>
      </c>
    </row>
    <row r="102" spans="1:6">
      <c r="A102" s="20" t="str">
        <f t="shared" si="1"/>
        <v>step92</v>
      </c>
      <c r="B102" s="14" t="s">
        <v>10</v>
      </c>
      <c r="C102" s="15" t="s">
        <v>24</v>
      </c>
      <c r="D102" s="16"/>
      <c r="E102" s="18"/>
      <c r="F102" s="18"/>
    </row>
    <row r="103" spans="1:6">
      <c r="A103" s="20" t="str">
        <f t="shared" si="1"/>
        <v>step93</v>
      </c>
      <c r="B103" s="14" t="s">
        <v>10</v>
      </c>
      <c r="C103" s="15" t="s">
        <v>11</v>
      </c>
      <c r="D103" s="16">
        <v>0</v>
      </c>
      <c r="E103" s="14"/>
      <c r="F103" s="14"/>
    </row>
    <row r="104" spans="1:6">
      <c r="A104" s="20" t="str">
        <f t="shared" si="1"/>
        <v>step94</v>
      </c>
      <c r="B104" s="14" t="s">
        <v>10</v>
      </c>
      <c r="C104" s="15" t="s">
        <v>11</v>
      </c>
      <c r="D104" s="16">
        <v>1</v>
      </c>
      <c r="E104" s="14"/>
      <c r="F104" s="14"/>
    </row>
    <row r="105" spans="1:6">
      <c r="A105" t="str">
        <f t="shared" si="1"/>
        <v>step95</v>
      </c>
      <c r="B105" s="17" t="s">
        <v>27</v>
      </c>
      <c r="C105" s="17" t="s">
        <v>79</v>
      </c>
      <c r="D105" s="19" t="str">
        <f ca="1" xml:space="preserve"> C105&amp;":"&amp;$D$3&amp;":OK"</f>
        <v>name=receive_comment:1800_Office Supply(WH)20210706130728:OK</v>
      </c>
      <c r="E105" s="17"/>
      <c r="F105" s="17"/>
    </row>
    <row r="106" spans="1:6">
      <c r="A106" s="20" t="str">
        <f t="shared" si="1"/>
        <v>step96</v>
      </c>
      <c r="B106" s="2" t="s">
        <v>6</v>
      </c>
      <c r="C106" s="2" t="s">
        <v>65</v>
      </c>
      <c r="F106" s="2" t="s">
        <v>130</v>
      </c>
    </row>
    <row r="107" spans="1:6">
      <c r="A107" s="20" t="str">
        <f t="shared" si="1"/>
        <v>step97</v>
      </c>
      <c r="B107" s="14" t="s">
        <v>97</v>
      </c>
      <c r="C107" s="15" t="s">
        <v>67</v>
      </c>
      <c r="F107" s="2"/>
    </row>
    <row r="108" spans="1:6">
      <c r="A108" s="20" t="str">
        <f t="shared" si="1"/>
        <v>step98</v>
      </c>
      <c r="B108" s="2" t="s">
        <v>45</v>
      </c>
      <c r="C108" s="5"/>
      <c r="D108" s="11" t="s">
        <v>46</v>
      </c>
      <c r="F108" s="2"/>
    </row>
    <row r="109" spans="1:6">
      <c r="A109" t="str">
        <f t="shared" si="1"/>
        <v>step99</v>
      </c>
      <c r="B109" s="14" t="s">
        <v>10</v>
      </c>
      <c r="C109" s="14" t="s">
        <v>4</v>
      </c>
      <c r="D109" s="16" t="s">
        <v>42</v>
      </c>
      <c r="E109" s="14"/>
      <c r="F109" s="14" t="s">
        <v>36</v>
      </c>
    </row>
    <row r="110" spans="1:6">
      <c r="A110" s="20" t="str">
        <f t="shared" si="1"/>
        <v>step100</v>
      </c>
      <c r="B110" s="14" t="s">
        <v>10</v>
      </c>
      <c r="C110" s="15" t="s">
        <v>24</v>
      </c>
      <c r="D110" s="16"/>
      <c r="E110" s="18"/>
      <c r="F110" s="18"/>
    </row>
    <row r="111" spans="1:6">
      <c r="A111" t="str">
        <f t="shared" si="1"/>
        <v>step101</v>
      </c>
      <c r="B111" s="14" t="s">
        <v>10</v>
      </c>
      <c r="C111" s="15" t="s">
        <v>11</v>
      </c>
      <c r="D111" s="16">
        <v>0</v>
      </c>
      <c r="F111" s="2"/>
    </row>
    <row r="112" spans="1:6" ht="36">
      <c r="A112" t="str">
        <f t="shared" si="1"/>
        <v>step102</v>
      </c>
      <c r="B112" s="17" t="s">
        <v>125</v>
      </c>
      <c r="C112" s="32" t="s">
        <v>132</v>
      </c>
      <c r="D112" s="19"/>
      <c r="E112" s="17"/>
      <c r="F112" s="17" t="s">
        <v>149</v>
      </c>
    </row>
    <row r="113" spans="1:6">
      <c r="A113" t="str">
        <f t="shared" si="1"/>
        <v>step103</v>
      </c>
      <c r="B113" s="17" t="s">
        <v>124</v>
      </c>
      <c r="C113" s="18" t="s">
        <v>133</v>
      </c>
      <c r="D113" s="19"/>
      <c r="E113" s="17"/>
      <c r="F113" s="17" t="s">
        <v>150</v>
      </c>
    </row>
    <row r="114" spans="1:6">
      <c r="A114" t="str">
        <f t="shared" si="1"/>
        <v>step104</v>
      </c>
      <c r="B114" s="17" t="s">
        <v>98</v>
      </c>
      <c r="C114" s="18" t="s">
        <v>127</v>
      </c>
      <c r="D114" s="19"/>
      <c r="E114" s="17"/>
      <c r="F114" s="17"/>
    </row>
    <row r="115" spans="1:6">
      <c r="A115" s="20" t="str">
        <f t="shared" si="1"/>
        <v>step105</v>
      </c>
      <c r="B115" s="2" t="s">
        <v>1</v>
      </c>
      <c r="C115" s="25" t="s">
        <v>126</v>
      </c>
      <c r="F115" s="2" t="s">
        <v>83</v>
      </c>
    </row>
    <row r="116" spans="1:6">
      <c r="A116" s="20" t="str">
        <f t="shared" si="1"/>
        <v>step106</v>
      </c>
      <c r="B116" s="14" t="s">
        <v>10</v>
      </c>
      <c r="C116" s="15" t="s">
        <v>11</v>
      </c>
      <c r="D116" s="16" t="s">
        <v>40</v>
      </c>
      <c r="E116" s="18"/>
      <c r="F116" s="18"/>
    </row>
    <row r="117" spans="1:6">
      <c r="A117" s="20" t="str">
        <f t="shared" si="1"/>
        <v>step107</v>
      </c>
      <c r="B117" s="14" t="s">
        <v>10</v>
      </c>
      <c r="C117" s="15" t="s">
        <v>11</v>
      </c>
      <c r="D117" s="16">
        <v>1</v>
      </c>
      <c r="E117" s="14"/>
      <c r="F117" s="14"/>
    </row>
    <row r="118" spans="1:6">
      <c r="A118" s="20" t="str">
        <f t="shared" si="1"/>
        <v>step108</v>
      </c>
      <c r="B118" s="17" t="s">
        <v>59</v>
      </c>
      <c r="C118" s="18" t="s">
        <v>119</v>
      </c>
      <c r="D118" s="11" t="str">
        <f ca="1">$D$3</f>
        <v>1800_Office Supply(WH)20210706130728</v>
      </c>
      <c r="F118" s="2" t="s">
        <v>109</v>
      </c>
    </row>
    <row r="119" spans="1:6">
      <c r="A119" s="20" t="str">
        <f t="shared" si="1"/>
        <v>step109</v>
      </c>
      <c r="B119" s="17" t="s">
        <v>8</v>
      </c>
      <c r="C119" s="18"/>
      <c r="D119" s="19">
        <v>1000</v>
      </c>
      <c r="E119" s="18"/>
      <c r="F119" s="18"/>
    </row>
    <row r="120" spans="1:6">
      <c r="A120" t="str">
        <f t="shared" si="1"/>
        <v>step110</v>
      </c>
      <c r="B120" s="2" t="s">
        <v>6</v>
      </c>
      <c r="C120" s="2" t="s">
        <v>35</v>
      </c>
      <c r="F120" s="2"/>
    </row>
    <row r="121" spans="1:6">
      <c r="A121" t="str">
        <f t="shared" si="1"/>
        <v>step111</v>
      </c>
      <c r="B121" s="14" t="s">
        <v>10</v>
      </c>
      <c r="C121" s="14" t="s">
        <v>4</v>
      </c>
      <c r="D121" s="16" t="s">
        <v>42</v>
      </c>
      <c r="E121" s="14"/>
      <c r="F121" s="14" t="s">
        <v>36</v>
      </c>
    </row>
    <row r="122" spans="1:6">
      <c r="A122" s="20" t="str">
        <f t="shared" si="1"/>
        <v>step112</v>
      </c>
      <c r="B122" s="14" t="s">
        <v>10</v>
      </c>
      <c r="C122" s="15" t="s">
        <v>11</v>
      </c>
      <c r="D122" s="16" t="s">
        <v>40</v>
      </c>
      <c r="E122" s="18"/>
      <c r="F122" s="18"/>
    </row>
    <row r="123" spans="1:6">
      <c r="A123" s="20" t="str">
        <f t="shared" si="1"/>
        <v>step113</v>
      </c>
      <c r="B123" s="14" t="s">
        <v>10</v>
      </c>
      <c r="C123" s="15" t="s">
        <v>11</v>
      </c>
      <c r="D123" s="16">
        <v>1</v>
      </c>
      <c r="E123" s="14"/>
      <c r="F123" s="14"/>
    </row>
    <row r="124" spans="1:6">
      <c r="A124" s="20" t="str">
        <f t="shared" si="1"/>
        <v>step114</v>
      </c>
      <c r="B124" s="17" t="s">
        <v>59</v>
      </c>
      <c r="C124" s="18" t="s">
        <v>118</v>
      </c>
      <c r="D124" s="11" t="str">
        <f ca="1">$D$3</f>
        <v>1800_Office Supply(WH)20210706130728</v>
      </c>
      <c r="F124" s="2" t="s">
        <v>151</v>
      </c>
    </row>
    <row r="125" spans="1:6">
      <c r="A125" s="20" t="str">
        <f t="shared" si="1"/>
        <v>step115</v>
      </c>
      <c r="B125" s="17" t="s">
        <v>8</v>
      </c>
      <c r="C125" s="18"/>
      <c r="D125" s="19">
        <v>1000</v>
      </c>
      <c r="E125" s="18"/>
      <c r="F125" s="18"/>
    </row>
    <row r="126" spans="1:6">
      <c r="A126" t="str">
        <f t="shared" si="1"/>
        <v>step116</v>
      </c>
      <c r="B126" s="2" t="s">
        <v>6</v>
      </c>
      <c r="C126" s="2" t="s">
        <v>35</v>
      </c>
      <c r="F126" s="2"/>
    </row>
    <row r="127" spans="1:6">
      <c r="A127" t="str">
        <f t="shared" si="1"/>
        <v>step117</v>
      </c>
      <c r="B127" s="14" t="s">
        <v>10</v>
      </c>
      <c r="C127" s="14" t="s">
        <v>4</v>
      </c>
      <c r="D127" s="16" t="s">
        <v>42</v>
      </c>
      <c r="E127" s="14"/>
      <c r="F127" s="14" t="s">
        <v>36</v>
      </c>
    </row>
    <row r="128" spans="1:6">
      <c r="A128" s="20" t="str">
        <f t="shared" si="1"/>
        <v>step118</v>
      </c>
      <c r="B128" s="2" t="s">
        <v>1</v>
      </c>
      <c r="C128" s="2" t="s">
        <v>84</v>
      </c>
      <c r="F128" s="2" t="s">
        <v>85</v>
      </c>
    </row>
    <row r="129" spans="1:6">
      <c r="A129" t="str">
        <f t="shared" si="1"/>
        <v>step119</v>
      </c>
      <c r="B129" s="2" t="s">
        <v>92</v>
      </c>
      <c r="C129" s="5" t="s">
        <v>157</v>
      </c>
      <c r="F129" s="2" t="s">
        <v>101</v>
      </c>
    </row>
    <row r="130" spans="1:6">
      <c r="A130" t="str">
        <f t="shared" si="1"/>
        <v>step120</v>
      </c>
      <c r="B130" s="2" t="s">
        <v>92</v>
      </c>
      <c r="C130" s="5" t="s">
        <v>155</v>
      </c>
      <c r="F130" s="2" t="s">
        <v>101</v>
      </c>
    </row>
    <row r="131" spans="1:6">
      <c r="A131" s="20" t="str">
        <f t="shared" si="1"/>
        <v>step121</v>
      </c>
      <c r="B131" s="2" t="s">
        <v>1</v>
      </c>
      <c r="C131" s="25" t="s">
        <v>87</v>
      </c>
      <c r="E131" s="2" t="s">
        <v>117</v>
      </c>
      <c r="F131" s="2" t="s">
        <v>88</v>
      </c>
    </row>
    <row r="132" spans="1:6">
      <c r="A132" s="20" t="str">
        <f t="shared" si="1"/>
        <v>step122</v>
      </c>
      <c r="B132" s="2" t="s">
        <v>86</v>
      </c>
      <c r="F132" s="2"/>
    </row>
  </sheetData>
  <phoneticPr fontId="1"/>
  <conditionalFormatting sqref="F71 B48:D48 B125:D125 B41:D41 F41 B103:D104 B99:D99 B119:D119 B117:D117 B123:D123 F123 F117 F119 F99 F103:F104 F125 F48 B76 D78">
    <cfRule type="expression" dxfId="432" priority="430">
      <formula>$B41="switchTo"</formula>
    </cfRule>
    <cfRule type="expression" dxfId="431" priority="431">
      <formula>$B41="wait"</formula>
    </cfRule>
  </conditionalFormatting>
  <conditionalFormatting sqref="B66">
    <cfRule type="expression" dxfId="430" priority="428">
      <formula>$B66="switchTo"</formula>
    </cfRule>
    <cfRule type="expression" dxfId="429" priority="429">
      <formula>$B66="wait"</formula>
    </cfRule>
  </conditionalFormatting>
  <conditionalFormatting sqref="B70:C70 F70">
    <cfRule type="expression" dxfId="428" priority="426">
      <formula>$B70="switchTo"</formula>
    </cfRule>
    <cfRule type="expression" dxfId="427" priority="427">
      <formula>$B70="wait"</formula>
    </cfRule>
  </conditionalFormatting>
  <conditionalFormatting sqref="D70">
    <cfRule type="expression" dxfId="426" priority="424">
      <formula>$B70="switchTo"</formula>
    </cfRule>
    <cfRule type="expression" dxfId="425" priority="425">
      <formula>$B70="wait"</formula>
    </cfRule>
  </conditionalFormatting>
  <conditionalFormatting sqref="D59">
    <cfRule type="expression" dxfId="424" priority="422">
      <formula>$B59="switchTo"</formula>
    </cfRule>
    <cfRule type="expression" dxfId="423" priority="423">
      <formula>$B59="wait"</formula>
    </cfRule>
  </conditionalFormatting>
  <conditionalFormatting sqref="D22">
    <cfRule type="expression" dxfId="422" priority="420">
      <formula>$B22="switchTo"</formula>
    </cfRule>
    <cfRule type="expression" dxfId="421" priority="421">
      <formula>$B22="wait"</formula>
    </cfRule>
  </conditionalFormatting>
  <conditionalFormatting sqref="B42:D42">
    <cfRule type="expression" dxfId="420" priority="418">
      <formula>$B42="switchTo"</formula>
    </cfRule>
    <cfRule type="expression" dxfId="419" priority="419">
      <formula>$B42="wait"</formula>
    </cfRule>
  </conditionalFormatting>
  <conditionalFormatting sqref="F42">
    <cfRule type="expression" dxfId="418" priority="416">
      <formula>$B42="switchTo"</formula>
    </cfRule>
    <cfRule type="expression" dxfId="417" priority="417">
      <formula>$B42="wait"</formula>
    </cfRule>
  </conditionalFormatting>
  <conditionalFormatting sqref="B133:E140 D106 B128:D128 B131:D132 B99:D100 F99:F100 D130 B33:D36 D91 B119:D120 D121 B117:D117 F117 B123:D123 F123 B125:D126 D127 D31:D32 D28 F31:F36 E31:E34 F28 F39:F75 E40:E75 B76:F76 B78:F78 B86:F86 B92:D95 B102:D105 E102:F106 B114:F115 B39:D75 B27:F27 E119:F121 B96:F97 F125:F128 B87:D89 E87:F95 F130:F132 B11:F18 B20:F22 B24:D26 F24:F26 E24:E25">
    <cfRule type="expression" dxfId="416" priority="415">
      <formula>$B11="popup"</formula>
    </cfRule>
    <cfRule type="expression" dxfId="415" priority="432">
      <formula>$B11="switchTo"</formula>
    </cfRule>
    <cfRule type="expression" dxfId="414" priority="433">
      <formula>$B11="wait"</formula>
    </cfRule>
  </conditionalFormatting>
  <conditionalFormatting sqref="F108">
    <cfRule type="expression" dxfId="413" priority="412">
      <formula>$B108="popup"</formula>
    </cfRule>
    <cfRule type="expression" dxfId="412" priority="413">
      <formula>$B108="switchTo"</formula>
    </cfRule>
    <cfRule type="expression" dxfId="411" priority="414">
      <formula>$B108="wait"</formula>
    </cfRule>
  </conditionalFormatting>
  <conditionalFormatting sqref="F107">
    <cfRule type="expression" dxfId="410" priority="409">
      <formula>$B107="popup"</formula>
    </cfRule>
    <cfRule type="expression" dxfId="409" priority="410">
      <formula>$B107="switchTo"</formula>
    </cfRule>
    <cfRule type="expression" dxfId="408" priority="411">
      <formula>$B107="wait"</formula>
    </cfRule>
  </conditionalFormatting>
  <conditionalFormatting sqref="B101:C101 F101">
    <cfRule type="expression" dxfId="407" priority="406">
      <formula>$B101="popup"</formula>
    </cfRule>
    <cfRule type="expression" dxfId="406" priority="407">
      <formula>$B101="switchTo"</formula>
    </cfRule>
    <cfRule type="expression" dxfId="405" priority="408">
      <formula>$B101="wait"</formula>
    </cfRule>
  </conditionalFormatting>
  <conditionalFormatting sqref="D101">
    <cfRule type="expression" dxfId="404" priority="403">
      <formula>$B101="popup"</formula>
    </cfRule>
    <cfRule type="expression" dxfId="403" priority="404">
      <formula>$B101="switchTo"</formula>
    </cfRule>
    <cfRule type="expression" dxfId="402" priority="405">
      <formula>$B101="wait"</formula>
    </cfRule>
  </conditionalFormatting>
  <conditionalFormatting sqref="B106:C106">
    <cfRule type="expression" dxfId="401" priority="400">
      <formula>$B106="popup"</formula>
    </cfRule>
    <cfRule type="expression" dxfId="400" priority="401">
      <formula>$B106="switchTo"</formula>
    </cfRule>
    <cfRule type="expression" dxfId="399" priority="402">
      <formula>$B106="wait"</formula>
    </cfRule>
  </conditionalFormatting>
  <conditionalFormatting sqref="B107:D108">
    <cfRule type="expression" dxfId="398" priority="397">
      <formula>$B107="popup"</formula>
    </cfRule>
    <cfRule type="expression" dxfId="397" priority="398">
      <formula>$B107="switchTo"</formula>
    </cfRule>
    <cfRule type="expression" dxfId="396" priority="399">
      <formula>$B107="wait"</formula>
    </cfRule>
  </conditionalFormatting>
  <conditionalFormatting sqref="C98">
    <cfRule type="expression" dxfId="395" priority="390">
      <formula>$B98="switchTo"</formula>
    </cfRule>
    <cfRule type="expression" dxfId="394" priority="391">
      <formula>$B98="wait"</formula>
    </cfRule>
  </conditionalFormatting>
  <conditionalFormatting sqref="B98 F98">
    <cfRule type="expression" dxfId="393" priority="394">
      <formula>$B98="popup"</formula>
    </cfRule>
    <cfRule type="expression" dxfId="392" priority="395">
      <formula>$B98="switchTo"</formula>
    </cfRule>
    <cfRule type="expression" dxfId="391" priority="396">
      <formula>$B98="wait"</formula>
    </cfRule>
  </conditionalFormatting>
  <conditionalFormatting sqref="C98">
    <cfRule type="expression" dxfId="390" priority="389">
      <formula>$B98="popup"</formula>
    </cfRule>
    <cfRule type="expression" dxfId="389" priority="392">
      <formula>$B98="switchTo"</formula>
    </cfRule>
    <cfRule type="expression" dxfId="388" priority="393">
      <formula>$B98="wait"</formula>
    </cfRule>
  </conditionalFormatting>
  <conditionalFormatting sqref="D98">
    <cfRule type="expression" dxfId="387" priority="385">
      <formula>$B98="switchTo"</formula>
    </cfRule>
    <cfRule type="expression" dxfId="386" priority="386">
      <formula>$B98="wait"</formula>
    </cfRule>
  </conditionalFormatting>
  <conditionalFormatting sqref="D98">
    <cfRule type="expression" dxfId="385" priority="384">
      <formula>$B98="popup"</formula>
    </cfRule>
    <cfRule type="expression" dxfId="384" priority="387">
      <formula>$B98="switchTo"</formula>
    </cfRule>
    <cfRule type="expression" dxfId="383" priority="388">
      <formula>$B98="wait"</formula>
    </cfRule>
  </conditionalFormatting>
  <conditionalFormatting sqref="B90 D90">
    <cfRule type="expression" dxfId="382" priority="381">
      <formula>$B90="popup"</formula>
    </cfRule>
    <cfRule type="expression" dxfId="381" priority="382">
      <formula>$B90="switchTo"</formula>
    </cfRule>
    <cfRule type="expression" dxfId="380" priority="383">
      <formula>$B90="wait"</formula>
    </cfRule>
  </conditionalFormatting>
  <conditionalFormatting sqref="C90">
    <cfRule type="expression" dxfId="379" priority="378">
      <formula>$B90="popup"</formula>
    </cfRule>
    <cfRule type="expression" dxfId="378" priority="379">
      <formula>$B90="switchTo"</formula>
    </cfRule>
    <cfRule type="expression" dxfId="377" priority="380">
      <formula>$B90="wait"</formula>
    </cfRule>
  </conditionalFormatting>
  <conditionalFormatting sqref="B130">
    <cfRule type="expression" dxfId="376" priority="375">
      <formula>$B130="popup"</formula>
    </cfRule>
    <cfRule type="expression" dxfId="375" priority="376">
      <formula>$B130="switchTo"</formula>
    </cfRule>
    <cfRule type="expression" dxfId="374" priority="377">
      <formula>$B130="wait"</formula>
    </cfRule>
  </conditionalFormatting>
  <conditionalFormatting sqref="C130">
    <cfRule type="expression" dxfId="373" priority="372">
      <formula>$B130="popup"</formula>
    </cfRule>
    <cfRule type="expression" dxfId="372" priority="373">
      <formula>$B130="switchTo"</formula>
    </cfRule>
    <cfRule type="expression" dxfId="371" priority="374">
      <formula>$B130="wait"</formula>
    </cfRule>
  </conditionalFormatting>
  <conditionalFormatting sqref="B133:E227 B33:D36 D91 D118 D121 B119:D120 B125:D126 D127 D31:D32 D28 B39:D75 F39:F75 F31:F36 E31:E34 F28 B76:F76 B78:F78 B86:F86 B92:D95 B114:D117 B27:F27 B122:D123 E114:F123 B96:F108 B128:D128 F125:F128 B87:D90 E87:F95 F130:F132 B130:D132 B11:F18 B20:F22 B24:D26 F24:F26 E24:E25">
    <cfRule type="expression" dxfId="370" priority="371">
      <formula>$B11="label"</formula>
    </cfRule>
  </conditionalFormatting>
  <conditionalFormatting sqref="F36">
    <cfRule type="expression" dxfId="369" priority="369">
      <formula>$B36="switchTo"</formula>
    </cfRule>
    <cfRule type="expression" dxfId="368" priority="370">
      <formula>$B36="wait"</formula>
    </cfRule>
  </conditionalFormatting>
  <conditionalFormatting sqref="B37:C37 F37">
    <cfRule type="expression" dxfId="367" priority="365">
      <formula>$B37="switchTo"</formula>
    </cfRule>
    <cfRule type="expression" dxfId="366" priority="366">
      <formula>$B37="wait"</formula>
    </cfRule>
  </conditionalFormatting>
  <conditionalFormatting sqref="B37:C37 F37">
    <cfRule type="expression" dxfId="365" priority="364">
      <formula>$B37="popup"</formula>
    </cfRule>
    <cfRule type="expression" dxfId="364" priority="367">
      <formula>$B37="switchTo"</formula>
    </cfRule>
    <cfRule type="expression" dxfId="363" priority="368">
      <formula>$B37="wait"</formula>
    </cfRule>
  </conditionalFormatting>
  <conditionalFormatting sqref="B37:C37 F37">
    <cfRule type="expression" dxfId="362" priority="363">
      <formula>$B37="label"</formula>
    </cfRule>
  </conditionalFormatting>
  <conditionalFormatting sqref="D37">
    <cfRule type="expression" dxfId="361" priority="360">
      <formula>$B37="popup"</formula>
    </cfRule>
    <cfRule type="expression" dxfId="360" priority="361">
      <formula>$B37="switchTo"</formula>
    </cfRule>
    <cfRule type="expression" dxfId="359" priority="362">
      <formula>$B37="wait"</formula>
    </cfRule>
  </conditionalFormatting>
  <conditionalFormatting sqref="D37">
    <cfRule type="expression" dxfId="358" priority="359">
      <formula>$B37="label"</formula>
    </cfRule>
  </conditionalFormatting>
  <conditionalFormatting sqref="C91">
    <cfRule type="expression" dxfId="357" priority="356">
      <formula>$B91="popup"</formula>
    </cfRule>
    <cfRule type="expression" dxfId="356" priority="357">
      <formula>$B91="switchTo"</formula>
    </cfRule>
    <cfRule type="expression" dxfId="355" priority="358">
      <formula>$B91="wait"</formula>
    </cfRule>
  </conditionalFormatting>
  <conditionalFormatting sqref="C91">
    <cfRule type="expression" dxfId="354" priority="355">
      <formula>$B91="label"</formula>
    </cfRule>
  </conditionalFormatting>
  <conditionalFormatting sqref="B91">
    <cfRule type="expression" dxfId="353" priority="352">
      <formula>$B91="popup"</formula>
    </cfRule>
    <cfRule type="expression" dxfId="352" priority="353">
      <formula>$B91="switchTo"</formula>
    </cfRule>
    <cfRule type="expression" dxfId="351" priority="354">
      <formula>$B91="wait"</formula>
    </cfRule>
  </conditionalFormatting>
  <conditionalFormatting sqref="B91">
    <cfRule type="expression" dxfId="350" priority="351">
      <formula>$B91="label"</formula>
    </cfRule>
  </conditionalFormatting>
  <conditionalFormatting sqref="D118">
    <cfRule type="expression" dxfId="349" priority="345">
      <formula>$B118="popup"</formula>
    </cfRule>
    <cfRule type="expression" dxfId="348" priority="346">
      <formula>$B118="switchTo"</formula>
    </cfRule>
    <cfRule type="expression" dxfId="347" priority="347">
      <formula>$B118="wait"</formula>
    </cfRule>
  </conditionalFormatting>
  <conditionalFormatting sqref="F118">
    <cfRule type="expression" dxfId="346" priority="348">
      <formula>$B118="popup"</formula>
    </cfRule>
    <cfRule type="expression" dxfId="345" priority="349">
      <formula>$B118="switchTo"</formula>
    </cfRule>
    <cfRule type="expression" dxfId="344" priority="350">
      <formula>$B118="wait"</formula>
    </cfRule>
  </conditionalFormatting>
  <conditionalFormatting sqref="B118">
    <cfRule type="expression" dxfId="343" priority="342">
      <formula>$B118="popup"</formula>
    </cfRule>
    <cfRule type="expression" dxfId="342" priority="343">
      <formula>$B118="switchTo"</formula>
    </cfRule>
    <cfRule type="expression" dxfId="341" priority="344">
      <formula>$B118="wait"</formula>
    </cfRule>
  </conditionalFormatting>
  <conditionalFormatting sqref="B118">
    <cfRule type="expression" dxfId="340" priority="341">
      <formula>$B118="label"</formula>
    </cfRule>
  </conditionalFormatting>
  <conditionalFormatting sqref="D124">
    <cfRule type="expression" dxfId="339" priority="312">
      <formula>$B124="popup"</formula>
    </cfRule>
    <cfRule type="expression" dxfId="338" priority="313">
      <formula>$B124="switchTo"</formula>
    </cfRule>
    <cfRule type="expression" dxfId="337" priority="314">
      <formula>$B124="wait"</formula>
    </cfRule>
  </conditionalFormatting>
  <conditionalFormatting sqref="D124">
    <cfRule type="expression" dxfId="336" priority="311">
      <formula>$B124="label"</formula>
    </cfRule>
  </conditionalFormatting>
  <conditionalFormatting sqref="C116">
    <cfRule type="expression" dxfId="335" priority="334">
      <formula>$B116="switchTo"</formula>
    </cfRule>
    <cfRule type="expression" dxfId="334" priority="335">
      <formula>$B116="wait"</formula>
    </cfRule>
  </conditionalFormatting>
  <conditionalFormatting sqref="B116 F116">
    <cfRule type="expression" dxfId="333" priority="338">
      <formula>$B116="popup"</formula>
    </cfRule>
    <cfRule type="expression" dxfId="332" priority="339">
      <formula>$B116="switchTo"</formula>
    </cfRule>
    <cfRule type="expression" dxfId="331" priority="340">
      <formula>$B116="wait"</formula>
    </cfRule>
  </conditionalFormatting>
  <conditionalFormatting sqref="C116">
    <cfRule type="expression" dxfId="330" priority="333">
      <formula>$B116="popup"</formula>
    </cfRule>
    <cfRule type="expression" dxfId="329" priority="336">
      <formula>$B116="switchTo"</formula>
    </cfRule>
    <cfRule type="expression" dxfId="328" priority="337">
      <formula>$B116="wait"</formula>
    </cfRule>
  </conditionalFormatting>
  <conditionalFormatting sqref="D116">
    <cfRule type="expression" dxfId="327" priority="329">
      <formula>$B116="switchTo"</formula>
    </cfRule>
    <cfRule type="expression" dxfId="326" priority="330">
      <formula>$B116="wait"</formula>
    </cfRule>
  </conditionalFormatting>
  <conditionalFormatting sqref="D116">
    <cfRule type="expression" dxfId="325" priority="328">
      <formula>$B116="popup"</formula>
    </cfRule>
    <cfRule type="expression" dxfId="324" priority="331">
      <formula>$B116="switchTo"</formula>
    </cfRule>
    <cfRule type="expression" dxfId="323" priority="332">
      <formula>$B116="wait"</formula>
    </cfRule>
  </conditionalFormatting>
  <conditionalFormatting sqref="C122">
    <cfRule type="expression" dxfId="322" priority="321">
      <formula>$B122="switchTo"</formula>
    </cfRule>
    <cfRule type="expression" dxfId="321" priority="322">
      <formula>$B122="wait"</formula>
    </cfRule>
  </conditionalFormatting>
  <conditionalFormatting sqref="B122 F122">
    <cfRule type="expression" dxfId="320" priority="325">
      <formula>$B122="popup"</formula>
    </cfRule>
    <cfRule type="expression" dxfId="319" priority="326">
      <formula>$B122="switchTo"</formula>
    </cfRule>
    <cfRule type="expression" dxfId="318" priority="327">
      <formula>$B122="wait"</formula>
    </cfRule>
  </conditionalFormatting>
  <conditionalFormatting sqref="C122">
    <cfRule type="expression" dxfId="317" priority="320">
      <formula>$B122="popup"</formula>
    </cfRule>
    <cfRule type="expression" dxfId="316" priority="323">
      <formula>$B122="switchTo"</formula>
    </cfRule>
    <cfRule type="expression" dxfId="315" priority="324">
      <formula>$B122="wait"</formula>
    </cfRule>
  </conditionalFormatting>
  <conditionalFormatting sqref="D122">
    <cfRule type="expression" dxfId="314" priority="316">
      <formula>$B122="switchTo"</formula>
    </cfRule>
    <cfRule type="expression" dxfId="313" priority="317">
      <formula>$B122="wait"</formula>
    </cfRule>
  </conditionalFormatting>
  <conditionalFormatting sqref="D122">
    <cfRule type="expression" dxfId="312" priority="315">
      <formula>$B122="popup"</formula>
    </cfRule>
    <cfRule type="expression" dxfId="311" priority="318">
      <formula>$B122="switchTo"</formula>
    </cfRule>
    <cfRule type="expression" dxfId="310" priority="319">
      <formula>$B122="wait"</formula>
    </cfRule>
  </conditionalFormatting>
  <conditionalFormatting sqref="B124">
    <cfRule type="expression" dxfId="309" priority="308">
      <formula>$B124="popup"</formula>
    </cfRule>
    <cfRule type="expression" dxfId="308" priority="309">
      <formula>$B124="switchTo"</formula>
    </cfRule>
    <cfRule type="expression" dxfId="307" priority="310">
      <formula>$B124="wait"</formula>
    </cfRule>
  </conditionalFormatting>
  <conditionalFormatting sqref="B124">
    <cfRule type="expression" dxfId="306" priority="307">
      <formula>$B124="label"</formula>
    </cfRule>
  </conditionalFormatting>
  <conditionalFormatting sqref="B57">
    <cfRule type="expression" dxfId="305" priority="305">
      <formula>$B57="switchTo"</formula>
    </cfRule>
    <cfRule type="expression" dxfId="304" priority="306">
      <formula>$B57="wait"</formula>
    </cfRule>
  </conditionalFormatting>
  <conditionalFormatting sqref="B127:C127">
    <cfRule type="expression" dxfId="303" priority="300">
      <formula>$B127="popup"</formula>
    </cfRule>
    <cfRule type="expression" dxfId="302" priority="301">
      <formula>$B127="switchTo"</formula>
    </cfRule>
    <cfRule type="expression" dxfId="301" priority="302">
      <formula>$B127="wait"</formula>
    </cfRule>
  </conditionalFormatting>
  <conditionalFormatting sqref="B127:C127">
    <cfRule type="expression" dxfId="300" priority="299">
      <formula>$B127="label"</formula>
    </cfRule>
  </conditionalFormatting>
  <conditionalFormatting sqref="B121">
    <cfRule type="expression" dxfId="299" priority="278">
      <formula>$B121="popup"</formula>
    </cfRule>
    <cfRule type="expression" dxfId="298" priority="279">
      <formula>$B121="switchTo"</formula>
    </cfRule>
    <cfRule type="expression" dxfId="297" priority="280">
      <formula>$B121="wait"</formula>
    </cfRule>
  </conditionalFormatting>
  <conditionalFormatting sqref="C118">
    <cfRule type="expression" dxfId="296" priority="269">
      <formula>$B118="label"</formula>
    </cfRule>
  </conditionalFormatting>
  <conditionalFormatting sqref="B121:C121">
    <cfRule type="expression" dxfId="295" priority="281">
      <formula>$B121="popup"</formula>
    </cfRule>
    <cfRule type="expression" dxfId="294" priority="282">
      <formula>$B121="switchTo"</formula>
    </cfRule>
    <cfRule type="expression" dxfId="293" priority="283">
      <formula>$B121="wait"</formula>
    </cfRule>
  </conditionalFormatting>
  <conditionalFormatting sqref="B69">
    <cfRule type="expression" dxfId="292" priority="303">
      <formula>$B69="switchTo"</formula>
    </cfRule>
    <cfRule type="expression" dxfId="291" priority="304">
      <formula>$B69="wait"</formula>
    </cfRule>
  </conditionalFormatting>
  <conditionalFormatting sqref="B127:C127">
    <cfRule type="expression" dxfId="290" priority="296">
      <formula>$B127="popup"</formula>
    </cfRule>
    <cfRule type="expression" dxfId="289" priority="297">
      <formula>$B127="switchTo"</formula>
    </cfRule>
    <cfRule type="expression" dxfId="288" priority="298">
      <formula>$B127="wait"</formula>
    </cfRule>
  </conditionalFormatting>
  <conditionalFormatting sqref="B127">
    <cfRule type="expression" dxfId="287" priority="293">
      <formula>$B127="popup"</formula>
    </cfRule>
    <cfRule type="expression" dxfId="286" priority="294">
      <formula>$B127="switchTo"</formula>
    </cfRule>
    <cfRule type="expression" dxfId="285" priority="295">
      <formula>$B127="wait"</formula>
    </cfRule>
  </conditionalFormatting>
  <conditionalFormatting sqref="B127:C127">
    <cfRule type="expression" dxfId="284" priority="290">
      <formula>$B127="popup"</formula>
    </cfRule>
    <cfRule type="expression" dxfId="283" priority="291">
      <formula>$B127="switchTo"</formula>
    </cfRule>
    <cfRule type="expression" dxfId="282" priority="292">
      <formula>$B127="wait"</formula>
    </cfRule>
  </conditionalFormatting>
  <conditionalFormatting sqref="B127">
    <cfRule type="expression" dxfId="281" priority="288">
      <formula>$B127="switchTo"</formula>
    </cfRule>
    <cfRule type="expression" dxfId="280" priority="289">
      <formula>$B127="wait"</formula>
    </cfRule>
  </conditionalFormatting>
  <conditionalFormatting sqref="B121:C121">
    <cfRule type="expression" dxfId="279" priority="285">
      <formula>$B121="popup"</formula>
    </cfRule>
    <cfRule type="expression" dxfId="278" priority="286">
      <formula>$B121="switchTo"</formula>
    </cfRule>
    <cfRule type="expression" dxfId="277" priority="287">
      <formula>$B121="wait"</formula>
    </cfRule>
  </conditionalFormatting>
  <conditionalFormatting sqref="B121:C121">
    <cfRule type="expression" dxfId="276" priority="284">
      <formula>$B121="label"</formula>
    </cfRule>
  </conditionalFormatting>
  <conditionalFormatting sqref="C118">
    <cfRule type="expression" dxfId="275" priority="270">
      <formula>$B118="popup"</formula>
    </cfRule>
    <cfRule type="expression" dxfId="274" priority="271">
      <formula>$B118="switchTo"</formula>
    </cfRule>
    <cfRule type="expression" dxfId="273" priority="272">
      <formula>$B118="wait"</formula>
    </cfRule>
  </conditionalFormatting>
  <conditionalFormatting sqref="B121:C121">
    <cfRule type="expression" dxfId="272" priority="275">
      <formula>$B121="popup"</formula>
    </cfRule>
    <cfRule type="expression" dxfId="271" priority="276">
      <formula>$B121="switchTo"</formula>
    </cfRule>
    <cfRule type="expression" dxfId="270" priority="277">
      <formula>$B121="wait"</formula>
    </cfRule>
  </conditionalFormatting>
  <conditionalFormatting sqref="B121">
    <cfRule type="expression" dxfId="269" priority="273">
      <formula>$B121="switchTo"</formula>
    </cfRule>
    <cfRule type="expression" dxfId="268" priority="274">
      <formula>$B121="wait"</formula>
    </cfRule>
  </conditionalFormatting>
  <conditionalFormatting sqref="C124">
    <cfRule type="expression" dxfId="267" priority="265">
      <formula>$B124="label"</formula>
    </cfRule>
  </conditionalFormatting>
  <conditionalFormatting sqref="C124">
    <cfRule type="expression" dxfId="266" priority="266">
      <formula>$B124="popup"</formula>
    </cfRule>
    <cfRule type="expression" dxfId="265" priority="267">
      <formula>$B124="switchTo"</formula>
    </cfRule>
    <cfRule type="expression" dxfId="264" priority="268">
      <formula>$B124="wait"</formula>
    </cfRule>
  </conditionalFormatting>
  <conditionalFormatting sqref="B29 F29">
    <cfRule type="expression" dxfId="263" priority="257">
      <formula>$B29="label"</formula>
    </cfRule>
  </conditionalFormatting>
  <conditionalFormatting sqref="B29 F29">
    <cfRule type="expression" dxfId="262" priority="258">
      <formula>$B29="popup"</formula>
    </cfRule>
    <cfRule type="expression" dxfId="261" priority="259">
      <formula>$B29="switchTo"</formula>
    </cfRule>
    <cfRule type="expression" dxfId="260" priority="260">
      <formula>$B29="wait"</formula>
    </cfRule>
  </conditionalFormatting>
  <conditionalFormatting sqref="F124">
    <cfRule type="expression" dxfId="259" priority="261">
      <formula>$B124="label"</formula>
    </cfRule>
  </conditionalFormatting>
  <conditionalFormatting sqref="F124">
    <cfRule type="expression" dxfId="258" priority="262">
      <formula>$B124="popup"</formula>
    </cfRule>
    <cfRule type="expression" dxfId="257" priority="263">
      <formula>$B124="switchTo"</formula>
    </cfRule>
    <cfRule type="expression" dxfId="256" priority="264">
      <formula>$B124="wait"</formula>
    </cfRule>
  </conditionalFormatting>
  <conditionalFormatting sqref="D29">
    <cfRule type="expression" dxfId="255" priority="254">
      <formula>$B29="popup"</formula>
    </cfRule>
    <cfRule type="expression" dxfId="254" priority="255">
      <formula>$B29="switchTo"</formula>
    </cfRule>
    <cfRule type="expression" dxfId="253" priority="256">
      <formula>$B29="wait"</formula>
    </cfRule>
  </conditionalFormatting>
  <conditionalFormatting sqref="D29">
    <cfRule type="expression" dxfId="252" priority="253">
      <formula>$B29="label"</formula>
    </cfRule>
  </conditionalFormatting>
  <conditionalFormatting sqref="C29">
    <cfRule type="expression" dxfId="251" priority="246">
      <formula>$B29="popup"</formula>
    </cfRule>
    <cfRule type="expression" dxfId="250" priority="247">
      <formula>$B29="switchTo"</formula>
    </cfRule>
    <cfRule type="expression" dxfId="249" priority="248">
      <formula>$B29="wait"</formula>
    </cfRule>
  </conditionalFormatting>
  <conditionalFormatting sqref="C29">
    <cfRule type="expression" dxfId="248" priority="245">
      <formula>$B29="label"</formula>
    </cfRule>
  </conditionalFormatting>
  <conditionalFormatting sqref="B32:C32">
    <cfRule type="expression" dxfId="247" priority="250">
      <formula>$B32="popup"</formula>
    </cfRule>
    <cfRule type="expression" dxfId="246" priority="251">
      <formula>$B32="switchTo"</formula>
    </cfRule>
    <cfRule type="expression" dxfId="245" priority="252">
      <formula>$B32="wait"</formula>
    </cfRule>
  </conditionalFormatting>
  <conditionalFormatting sqref="B32:C32">
    <cfRule type="expression" dxfId="244" priority="249">
      <formula>$B32="label"</formula>
    </cfRule>
  </conditionalFormatting>
  <conditionalFormatting sqref="B28:C28">
    <cfRule type="expression" dxfId="243" priority="242">
      <formula>$B28="popup"</formula>
    </cfRule>
    <cfRule type="expression" dxfId="242" priority="243">
      <formula>$B28="switchTo"</formula>
    </cfRule>
    <cfRule type="expression" dxfId="241" priority="244">
      <formula>$B28="wait"</formula>
    </cfRule>
  </conditionalFormatting>
  <conditionalFormatting sqref="B28:C28">
    <cfRule type="expression" dxfId="240" priority="241">
      <formula>$B28="label"</formula>
    </cfRule>
  </conditionalFormatting>
  <conditionalFormatting sqref="B31">
    <cfRule type="expression" dxfId="239" priority="238">
      <formula>$B31="popup"</formula>
    </cfRule>
    <cfRule type="expression" dxfId="238" priority="239">
      <formula>$B31="switchTo"</formula>
    </cfRule>
    <cfRule type="expression" dxfId="237" priority="240">
      <formula>$B31="wait"</formula>
    </cfRule>
  </conditionalFormatting>
  <conditionalFormatting sqref="B31">
    <cfRule type="expression" dxfId="236" priority="237">
      <formula>$B31="label"</formula>
    </cfRule>
  </conditionalFormatting>
  <conditionalFormatting sqref="C31">
    <cfRule type="expression" dxfId="235" priority="234">
      <formula>$B31="popup"</formula>
    </cfRule>
    <cfRule type="expression" dxfId="234" priority="235">
      <formula>$B31="switchTo"</formula>
    </cfRule>
    <cfRule type="expression" dxfId="233" priority="236">
      <formula>$B31="wait"</formula>
    </cfRule>
  </conditionalFormatting>
  <conditionalFormatting sqref="C31">
    <cfRule type="expression" dxfId="232" priority="233">
      <formula>$B31="label"</formula>
    </cfRule>
  </conditionalFormatting>
  <conditionalFormatting sqref="E71 E41 E123 E117 E119 E99 E103:E104 E125 E48">
    <cfRule type="expression" dxfId="231" priority="229">
      <formula>$B41="switchTo"</formula>
    </cfRule>
    <cfRule type="expression" dxfId="230" priority="230">
      <formula>$B41="wait"</formula>
    </cfRule>
  </conditionalFormatting>
  <conditionalFormatting sqref="E70">
    <cfRule type="expression" dxfId="229" priority="227">
      <formula>$B70="switchTo"</formula>
    </cfRule>
    <cfRule type="expression" dxfId="228" priority="228">
      <formula>$B70="wait"</formula>
    </cfRule>
  </conditionalFormatting>
  <conditionalFormatting sqref="E42">
    <cfRule type="expression" dxfId="227" priority="225">
      <formula>$B42="switchTo"</formula>
    </cfRule>
    <cfRule type="expression" dxfId="226" priority="226">
      <formula>$B42="wait"</formula>
    </cfRule>
  </conditionalFormatting>
  <conditionalFormatting sqref="E99:E100 E117 E123 E36 E28 E125:E128 E130:E132">
    <cfRule type="expression" dxfId="225" priority="224">
      <formula>$B28="popup"</formula>
    </cfRule>
    <cfRule type="expression" dxfId="224" priority="231">
      <formula>$B28="switchTo"</formula>
    </cfRule>
    <cfRule type="expression" dxfId="223" priority="232">
      <formula>$B28="wait"</formula>
    </cfRule>
  </conditionalFormatting>
  <conditionalFormatting sqref="E108">
    <cfRule type="expression" dxfId="222" priority="221">
      <formula>$B108="popup"</formula>
    </cfRule>
    <cfRule type="expression" dxfId="221" priority="222">
      <formula>$B108="switchTo"</formula>
    </cfRule>
    <cfRule type="expression" dxfId="220" priority="223">
      <formula>$B108="wait"</formula>
    </cfRule>
  </conditionalFormatting>
  <conditionalFormatting sqref="E107">
    <cfRule type="expression" dxfId="219" priority="218">
      <formula>$B107="popup"</formula>
    </cfRule>
    <cfRule type="expression" dxfId="218" priority="219">
      <formula>$B107="switchTo"</formula>
    </cfRule>
    <cfRule type="expression" dxfId="217" priority="220">
      <formula>$B107="wait"</formula>
    </cfRule>
  </conditionalFormatting>
  <conditionalFormatting sqref="E101">
    <cfRule type="expression" dxfId="216" priority="215">
      <formula>$B101="popup"</formula>
    </cfRule>
    <cfRule type="expression" dxfId="215" priority="216">
      <formula>$B101="switchTo"</formula>
    </cfRule>
    <cfRule type="expression" dxfId="214" priority="217">
      <formula>$B101="wait"</formula>
    </cfRule>
  </conditionalFormatting>
  <conditionalFormatting sqref="E98">
    <cfRule type="expression" dxfId="213" priority="212">
      <formula>$B98="popup"</formula>
    </cfRule>
    <cfRule type="expression" dxfId="212" priority="213">
      <formula>$B98="switchTo"</formula>
    </cfRule>
    <cfRule type="expression" dxfId="211" priority="214">
      <formula>$B98="wait"</formula>
    </cfRule>
  </conditionalFormatting>
  <conditionalFormatting sqref="E36 E40:E75 E28 E125:E128 E130:E132">
    <cfRule type="expression" dxfId="210" priority="211">
      <formula>$B28="label"</formula>
    </cfRule>
  </conditionalFormatting>
  <conditionalFormatting sqref="E36">
    <cfRule type="expression" dxfId="209" priority="209">
      <formula>$B36="switchTo"</formula>
    </cfRule>
    <cfRule type="expression" dxfId="208" priority="210">
      <formula>$B36="wait"</formula>
    </cfRule>
  </conditionalFormatting>
  <conditionalFormatting sqref="E37">
    <cfRule type="expression" dxfId="207" priority="205">
      <formula>$B37="switchTo"</formula>
    </cfRule>
    <cfRule type="expression" dxfId="206" priority="206">
      <formula>$B37="wait"</formula>
    </cfRule>
  </conditionalFormatting>
  <conditionalFormatting sqref="E37">
    <cfRule type="expression" dxfId="205" priority="204">
      <formula>$B37="popup"</formula>
    </cfRule>
    <cfRule type="expression" dxfId="204" priority="207">
      <formula>$B37="switchTo"</formula>
    </cfRule>
    <cfRule type="expression" dxfId="203" priority="208">
      <formula>$B37="wait"</formula>
    </cfRule>
  </conditionalFormatting>
  <conditionalFormatting sqref="E37">
    <cfRule type="expression" dxfId="202" priority="203">
      <formula>$B37="label"</formula>
    </cfRule>
  </conditionalFormatting>
  <conditionalFormatting sqref="E118">
    <cfRule type="expression" dxfId="201" priority="200">
      <formula>$B118="popup"</formula>
    </cfRule>
    <cfRule type="expression" dxfId="200" priority="201">
      <formula>$B118="switchTo"</formula>
    </cfRule>
    <cfRule type="expression" dxfId="199" priority="202">
      <formula>$B118="wait"</formula>
    </cfRule>
  </conditionalFormatting>
  <conditionalFormatting sqref="E116">
    <cfRule type="expression" dxfId="198" priority="197">
      <formula>$B116="popup"</formula>
    </cfRule>
    <cfRule type="expression" dxfId="197" priority="198">
      <formula>$B116="switchTo"</formula>
    </cfRule>
    <cfRule type="expression" dxfId="196" priority="199">
      <formula>$B116="wait"</formula>
    </cfRule>
  </conditionalFormatting>
  <conditionalFormatting sqref="E122">
    <cfRule type="expression" dxfId="195" priority="194">
      <formula>$B122="popup"</formula>
    </cfRule>
    <cfRule type="expression" dxfId="194" priority="195">
      <formula>$B122="switchTo"</formula>
    </cfRule>
    <cfRule type="expression" dxfId="193" priority="196">
      <formula>$B122="wait"</formula>
    </cfRule>
  </conditionalFormatting>
  <conditionalFormatting sqref="E29">
    <cfRule type="expression" dxfId="192" priority="186">
      <formula>$B29="label"</formula>
    </cfRule>
  </conditionalFormatting>
  <conditionalFormatting sqref="E29">
    <cfRule type="expression" dxfId="191" priority="187">
      <formula>$B29="popup"</formula>
    </cfRule>
    <cfRule type="expression" dxfId="190" priority="188">
      <formula>$B29="switchTo"</formula>
    </cfRule>
    <cfRule type="expression" dxfId="189" priority="189">
      <formula>$B29="wait"</formula>
    </cfRule>
  </conditionalFormatting>
  <conditionalFormatting sqref="E124">
    <cfRule type="expression" dxfId="188" priority="190">
      <formula>$B124="label"</formula>
    </cfRule>
  </conditionalFormatting>
  <conditionalFormatting sqref="E124">
    <cfRule type="expression" dxfId="187" priority="191">
      <formula>$B124="popup"</formula>
    </cfRule>
    <cfRule type="expression" dxfId="186" priority="192">
      <formula>$B124="switchTo"</formula>
    </cfRule>
    <cfRule type="expression" dxfId="185" priority="193">
      <formula>$B124="wait"</formula>
    </cfRule>
  </conditionalFormatting>
  <conditionalFormatting sqref="E39">
    <cfRule type="expression" dxfId="184" priority="185">
      <formula>$B39="label"</formula>
    </cfRule>
  </conditionalFormatting>
  <conditionalFormatting sqref="D61">
    <cfRule type="expression" dxfId="183" priority="183">
      <formula>$B61="switchTo"</formula>
    </cfRule>
    <cfRule type="expression" dxfId="182" priority="184">
      <formula>$B61="wait"</formula>
    </cfRule>
  </conditionalFormatting>
  <conditionalFormatting sqref="B30:D30 F30">
    <cfRule type="expression" dxfId="181" priority="180">
      <formula>$B30="popup"</formula>
    </cfRule>
    <cfRule type="expression" dxfId="180" priority="181">
      <formula>$B30="switchTo"</formula>
    </cfRule>
    <cfRule type="expression" dxfId="179" priority="182">
      <formula>$B30="wait"</formula>
    </cfRule>
  </conditionalFormatting>
  <conditionalFormatting sqref="B30:D30 F30">
    <cfRule type="expression" dxfId="178" priority="179">
      <formula>$B30="label"</formula>
    </cfRule>
  </conditionalFormatting>
  <conditionalFormatting sqref="E30">
    <cfRule type="expression" dxfId="177" priority="176">
      <formula>$B30="popup"</formula>
    </cfRule>
    <cfRule type="expression" dxfId="176" priority="177">
      <formula>$B30="switchTo"</formula>
    </cfRule>
    <cfRule type="expression" dxfId="175" priority="178">
      <formula>$B30="wait"</formula>
    </cfRule>
  </conditionalFormatting>
  <conditionalFormatting sqref="E30">
    <cfRule type="expression" dxfId="174" priority="175">
      <formula>$B30="label"</formula>
    </cfRule>
  </conditionalFormatting>
  <conditionalFormatting sqref="E35">
    <cfRule type="expression" dxfId="173" priority="172">
      <formula>$B35="popup"</formula>
    </cfRule>
    <cfRule type="expression" dxfId="172" priority="173">
      <formula>$B35="switchTo"</formula>
    </cfRule>
    <cfRule type="expression" dxfId="171" priority="174">
      <formula>$B35="wait"</formula>
    </cfRule>
  </conditionalFormatting>
  <conditionalFormatting sqref="E35">
    <cfRule type="expression" dxfId="170" priority="171">
      <formula>$B35="label"</formula>
    </cfRule>
  </conditionalFormatting>
  <conditionalFormatting sqref="E35">
    <cfRule type="expression" dxfId="169" priority="169">
      <formula>$B35="switchTo"</formula>
    </cfRule>
    <cfRule type="expression" dxfId="168" priority="170">
      <formula>$B35="wait"</formula>
    </cfRule>
  </conditionalFormatting>
  <conditionalFormatting sqref="B77:D77 F77">
    <cfRule type="expression" dxfId="167" priority="166">
      <formula>$B77="popup"</formula>
    </cfRule>
    <cfRule type="expression" dxfId="166" priority="167">
      <formula>$B77="switchTo"</formula>
    </cfRule>
    <cfRule type="expression" dxfId="165" priority="168">
      <formula>$B77="wait"</formula>
    </cfRule>
  </conditionalFormatting>
  <conditionalFormatting sqref="F77 B77:D77">
    <cfRule type="expression" dxfId="164" priority="165">
      <formula>$B77="label"</formula>
    </cfRule>
  </conditionalFormatting>
  <conditionalFormatting sqref="E77">
    <cfRule type="expression" dxfId="163" priority="162">
      <formula>$B77="popup"</formula>
    </cfRule>
    <cfRule type="expression" dxfId="162" priority="163">
      <formula>$B77="switchTo"</formula>
    </cfRule>
    <cfRule type="expression" dxfId="161" priority="164">
      <formula>$B77="wait"</formula>
    </cfRule>
  </conditionalFormatting>
  <conditionalFormatting sqref="E77">
    <cfRule type="expression" dxfId="160" priority="161">
      <formula>$B77="label"</formula>
    </cfRule>
  </conditionalFormatting>
  <conditionalFormatting sqref="D80 F80">
    <cfRule type="expression" dxfId="159" priority="160">
      <formula>$B80="label"</formula>
    </cfRule>
  </conditionalFormatting>
  <conditionalFormatting sqref="B80 D80">
    <cfRule type="expression" dxfId="158" priority="157">
      <formula>$B80="popup"</formula>
    </cfRule>
    <cfRule type="expression" dxfId="157" priority="158">
      <formula>$B80="switchTo"</formula>
    </cfRule>
    <cfRule type="expression" dxfId="156" priority="159">
      <formula>$B80="wait"</formula>
    </cfRule>
  </conditionalFormatting>
  <conditionalFormatting sqref="F80">
    <cfRule type="expression" dxfId="155" priority="154">
      <formula>$B80="popup"</formula>
    </cfRule>
    <cfRule type="expression" dxfId="154" priority="155">
      <formula>$B80="switchTo"</formula>
    </cfRule>
    <cfRule type="expression" dxfId="153" priority="156">
      <formula>$B80="wait"</formula>
    </cfRule>
  </conditionalFormatting>
  <conditionalFormatting sqref="B80">
    <cfRule type="expression" dxfId="152" priority="153">
      <formula>$B80="label"</formula>
    </cfRule>
  </conditionalFormatting>
  <conditionalFormatting sqref="C80">
    <cfRule type="expression" dxfId="151" priority="150">
      <formula>$B80="popup"</formula>
    </cfRule>
    <cfRule type="expression" dxfId="150" priority="151">
      <formula>$B80="switchTo"</formula>
    </cfRule>
    <cfRule type="expression" dxfId="149" priority="152">
      <formula>$B80="wait"</formula>
    </cfRule>
  </conditionalFormatting>
  <conditionalFormatting sqref="C80">
    <cfRule type="expression" dxfId="148" priority="149">
      <formula>$B80="label"</formula>
    </cfRule>
  </conditionalFormatting>
  <conditionalFormatting sqref="E80">
    <cfRule type="expression" dxfId="147" priority="148">
      <formula>$B80="label"</formula>
    </cfRule>
  </conditionalFormatting>
  <conditionalFormatting sqref="E80">
    <cfRule type="expression" dxfId="146" priority="145">
      <formula>$B80="popup"</formula>
    </cfRule>
    <cfRule type="expression" dxfId="145" priority="146">
      <formula>$B80="switchTo"</formula>
    </cfRule>
    <cfRule type="expression" dxfId="144" priority="147">
      <formula>$B80="wait"</formula>
    </cfRule>
  </conditionalFormatting>
  <conditionalFormatting sqref="B109 D111">
    <cfRule type="expression" dxfId="143" priority="141">
      <formula>$B109="switchTo"</formula>
    </cfRule>
    <cfRule type="expression" dxfId="142" priority="142">
      <formula>$B109="wait"</formula>
    </cfRule>
  </conditionalFormatting>
  <conditionalFormatting sqref="B109:F109 B111:F111">
    <cfRule type="expression" dxfId="141" priority="140">
      <formula>$B109="popup"</formula>
    </cfRule>
    <cfRule type="expression" dxfId="140" priority="143">
      <formula>$B109="switchTo"</formula>
    </cfRule>
    <cfRule type="expression" dxfId="139" priority="144">
      <formula>$B109="wait"</formula>
    </cfRule>
  </conditionalFormatting>
  <conditionalFormatting sqref="B109:F109 B111:F111">
    <cfRule type="expression" dxfId="138" priority="139">
      <formula>$B109="label"</formula>
    </cfRule>
  </conditionalFormatting>
  <conditionalFormatting sqref="B110:D110 F110">
    <cfRule type="expression" dxfId="137" priority="136">
      <formula>$B110="popup"</formula>
    </cfRule>
    <cfRule type="expression" dxfId="136" priority="137">
      <formula>$B110="switchTo"</formula>
    </cfRule>
    <cfRule type="expression" dxfId="135" priority="138">
      <formula>$B110="wait"</formula>
    </cfRule>
  </conditionalFormatting>
  <conditionalFormatting sqref="F110 B110:D110">
    <cfRule type="expression" dxfId="134" priority="135">
      <formula>$B110="label"</formula>
    </cfRule>
  </conditionalFormatting>
  <conditionalFormatting sqref="E110">
    <cfRule type="expression" dxfId="133" priority="132">
      <formula>$B110="popup"</formula>
    </cfRule>
    <cfRule type="expression" dxfId="132" priority="133">
      <formula>$B110="switchTo"</formula>
    </cfRule>
    <cfRule type="expression" dxfId="131" priority="134">
      <formula>$B110="wait"</formula>
    </cfRule>
  </conditionalFormatting>
  <conditionalFormatting sqref="E110">
    <cfRule type="expression" dxfId="130" priority="131">
      <formula>$B110="label"</formula>
    </cfRule>
  </conditionalFormatting>
  <conditionalFormatting sqref="F84">
    <cfRule type="expression" dxfId="129" priority="124">
      <formula>$B84="popup"</formula>
    </cfRule>
    <cfRule type="expression" dxfId="128" priority="125">
      <formula>$B84="switchTo"</formula>
    </cfRule>
    <cfRule type="expression" dxfId="127" priority="126">
      <formula>$B84="wait"</formula>
    </cfRule>
  </conditionalFormatting>
  <conditionalFormatting sqref="B84">
    <cfRule type="expression" dxfId="126" priority="123">
      <formula>$B84="label"</formula>
    </cfRule>
  </conditionalFormatting>
  <conditionalFormatting sqref="D84 F84">
    <cfRule type="expression" dxfId="125" priority="130">
      <formula>$B84="label"</formula>
    </cfRule>
  </conditionalFormatting>
  <conditionalFormatting sqref="B84 D84">
    <cfRule type="expression" dxfId="124" priority="127">
      <formula>$B84="popup"</formula>
    </cfRule>
    <cfRule type="expression" dxfId="123" priority="128">
      <formula>$B84="switchTo"</formula>
    </cfRule>
    <cfRule type="expression" dxfId="122" priority="129">
      <formula>$B84="wait"</formula>
    </cfRule>
  </conditionalFormatting>
  <conditionalFormatting sqref="E84">
    <cfRule type="expression" dxfId="121" priority="122">
      <formula>$B84="label"</formula>
    </cfRule>
  </conditionalFormatting>
  <conditionalFormatting sqref="E84">
    <cfRule type="expression" dxfId="120" priority="119">
      <formula>$B84="popup"</formula>
    </cfRule>
    <cfRule type="expression" dxfId="119" priority="120">
      <formula>$B84="switchTo"</formula>
    </cfRule>
    <cfRule type="expression" dxfId="118" priority="121">
      <formula>$B84="wait"</formula>
    </cfRule>
  </conditionalFormatting>
  <conditionalFormatting sqref="C84">
    <cfRule type="expression" dxfId="117" priority="116">
      <formula>$B84="popup"</formula>
    </cfRule>
    <cfRule type="expression" dxfId="116" priority="117">
      <formula>$B84="switchTo"</formula>
    </cfRule>
    <cfRule type="expression" dxfId="115" priority="118">
      <formula>$B84="wait"</formula>
    </cfRule>
  </conditionalFormatting>
  <conditionalFormatting sqref="C84">
    <cfRule type="expression" dxfId="114" priority="115">
      <formula>$B84="label"</formula>
    </cfRule>
  </conditionalFormatting>
  <conditionalFormatting sqref="D85 F85">
    <cfRule type="expression" dxfId="113" priority="114">
      <formula>$B85="label"</formula>
    </cfRule>
  </conditionalFormatting>
  <conditionalFormatting sqref="B85 D85">
    <cfRule type="expression" dxfId="112" priority="111">
      <formula>$B85="popup"</formula>
    </cfRule>
    <cfRule type="expression" dxfId="111" priority="112">
      <formula>$B85="switchTo"</formula>
    </cfRule>
    <cfRule type="expression" dxfId="110" priority="113">
      <formula>$B85="wait"</formula>
    </cfRule>
  </conditionalFormatting>
  <conditionalFormatting sqref="F85">
    <cfRule type="expression" dxfId="109" priority="108">
      <formula>$B85="popup"</formula>
    </cfRule>
    <cfRule type="expression" dxfId="108" priority="109">
      <formula>$B85="switchTo"</formula>
    </cfRule>
    <cfRule type="expression" dxfId="107" priority="110">
      <formula>$B85="wait"</formula>
    </cfRule>
  </conditionalFormatting>
  <conditionalFormatting sqref="B85">
    <cfRule type="expression" dxfId="106" priority="107">
      <formula>$B85="label"</formula>
    </cfRule>
  </conditionalFormatting>
  <conditionalFormatting sqref="E85">
    <cfRule type="expression" dxfId="105" priority="106">
      <formula>$B85="label"</formula>
    </cfRule>
  </conditionalFormatting>
  <conditionalFormatting sqref="E85">
    <cfRule type="expression" dxfId="104" priority="103">
      <formula>$B85="popup"</formula>
    </cfRule>
    <cfRule type="expression" dxfId="103" priority="104">
      <formula>$B85="switchTo"</formula>
    </cfRule>
    <cfRule type="expression" dxfId="102" priority="105">
      <formula>$B85="wait"</formula>
    </cfRule>
  </conditionalFormatting>
  <conditionalFormatting sqref="C85">
    <cfRule type="expression" dxfId="101" priority="100">
      <formula>$B85="popup"</formula>
    </cfRule>
    <cfRule type="expression" dxfId="100" priority="101">
      <formula>$B85="switchTo"</formula>
    </cfRule>
    <cfRule type="expression" dxfId="99" priority="102">
      <formula>$B85="wait"</formula>
    </cfRule>
  </conditionalFormatting>
  <conditionalFormatting sqref="C85">
    <cfRule type="expression" dxfId="98" priority="99">
      <formula>$B85="label"</formula>
    </cfRule>
  </conditionalFormatting>
  <conditionalFormatting sqref="D81:F83">
    <cfRule type="expression" dxfId="97" priority="96">
      <formula>$B81="popup"</formula>
    </cfRule>
    <cfRule type="expression" dxfId="96" priority="97">
      <formula>$B81="switchTo"</formula>
    </cfRule>
    <cfRule type="expression" dxfId="95" priority="98">
      <formula>$B81="wait"</formula>
    </cfRule>
  </conditionalFormatting>
  <conditionalFormatting sqref="D81:F83">
    <cfRule type="expression" dxfId="94" priority="95">
      <formula>$B81="label"</formula>
    </cfRule>
  </conditionalFormatting>
  <conditionalFormatting sqref="B81">
    <cfRule type="expression" dxfId="93" priority="92">
      <formula>$B81="popup"</formula>
    </cfRule>
    <cfRule type="expression" dxfId="92" priority="93">
      <formula>$B81="switchTo"</formula>
    </cfRule>
    <cfRule type="expression" dxfId="91" priority="94">
      <formula>$B81="wait"</formula>
    </cfRule>
  </conditionalFormatting>
  <conditionalFormatting sqref="B81">
    <cfRule type="expression" dxfId="90" priority="91">
      <formula>$B81="label"</formula>
    </cfRule>
  </conditionalFormatting>
  <conditionalFormatting sqref="C81">
    <cfRule type="expression" dxfId="89" priority="88">
      <formula>$B81="popup"</formula>
    </cfRule>
    <cfRule type="expression" dxfId="88" priority="89">
      <formula>$B81="switchTo"</formula>
    </cfRule>
    <cfRule type="expression" dxfId="87" priority="90">
      <formula>$B81="wait"</formula>
    </cfRule>
  </conditionalFormatting>
  <conditionalFormatting sqref="C81">
    <cfRule type="expression" dxfId="86" priority="87">
      <formula>$B81="label"</formula>
    </cfRule>
  </conditionalFormatting>
  <conditionalFormatting sqref="B82:C82 C83">
    <cfRule type="expression" dxfId="85" priority="84">
      <formula>$B82="popup"</formula>
    </cfRule>
    <cfRule type="expression" dxfId="84" priority="85">
      <formula>$B82="switchTo"</formula>
    </cfRule>
    <cfRule type="expression" dxfId="83" priority="86">
      <formula>$B82="wait"</formula>
    </cfRule>
  </conditionalFormatting>
  <conditionalFormatting sqref="B82:C82 C83">
    <cfRule type="expression" dxfId="82" priority="83">
      <formula>$B82="label"</formula>
    </cfRule>
  </conditionalFormatting>
  <conditionalFormatting sqref="D112:F112">
    <cfRule type="expression" dxfId="81" priority="80">
      <formula>$B112="popup"</formula>
    </cfRule>
    <cfRule type="expression" dxfId="80" priority="81">
      <formula>$B112="switchTo"</formula>
    </cfRule>
    <cfRule type="expression" dxfId="79" priority="82">
      <formula>$B112="wait"</formula>
    </cfRule>
  </conditionalFormatting>
  <conditionalFormatting sqref="D112:F112">
    <cfRule type="expression" dxfId="78" priority="79">
      <formula>$B112="label"</formula>
    </cfRule>
  </conditionalFormatting>
  <conditionalFormatting sqref="B112">
    <cfRule type="expression" dxfId="77" priority="76">
      <formula>$B112="popup"</formula>
    </cfRule>
    <cfRule type="expression" dxfId="76" priority="77">
      <formula>$B112="switchTo"</formula>
    </cfRule>
    <cfRule type="expression" dxfId="75" priority="78">
      <formula>$B112="wait"</formula>
    </cfRule>
  </conditionalFormatting>
  <conditionalFormatting sqref="B112">
    <cfRule type="expression" dxfId="74" priority="75">
      <formula>$B112="label"</formula>
    </cfRule>
  </conditionalFormatting>
  <conditionalFormatting sqref="C112">
    <cfRule type="expression" dxfId="73" priority="72">
      <formula>$B112="popup"</formula>
    </cfRule>
    <cfRule type="expression" dxfId="72" priority="73">
      <formula>$B112="switchTo"</formula>
    </cfRule>
    <cfRule type="expression" dxfId="71" priority="74">
      <formula>$B112="wait"</formula>
    </cfRule>
  </conditionalFormatting>
  <conditionalFormatting sqref="C112">
    <cfRule type="expression" dxfId="70" priority="71">
      <formula>$B112="label"</formula>
    </cfRule>
  </conditionalFormatting>
  <conditionalFormatting sqref="D113:F113">
    <cfRule type="expression" dxfId="69" priority="68">
      <formula>$B113="popup"</formula>
    </cfRule>
    <cfRule type="expression" dxfId="68" priority="69">
      <formula>$B113="switchTo"</formula>
    </cfRule>
    <cfRule type="expression" dxfId="67" priority="70">
      <formula>$B113="wait"</formula>
    </cfRule>
  </conditionalFormatting>
  <conditionalFormatting sqref="D113:F113">
    <cfRule type="expression" dxfId="66" priority="67">
      <formula>$B113="label"</formula>
    </cfRule>
  </conditionalFormatting>
  <conditionalFormatting sqref="C113">
    <cfRule type="expression" dxfId="65" priority="64">
      <formula>$B113="popup"</formula>
    </cfRule>
    <cfRule type="expression" dxfId="64" priority="65">
      <formula>$B113="switchTo"</formula>
    </cfRule>
    <cfRule type="expression" dxfId="63" priority="66">
      <formula>$B113="wait"</formula>
    </cfRule>
  </conditionalFormatting>
  <conditionalFormatting sqref="C113">
    <cfRule type="expression" dxfId="62" priority="63">
      <formula>$B113="label"</formula>
    </cfRule>
  </conditionalFormatting>
  <conditionalFormatting sqref="B113">
    <cfRule type="expression" dxfId="61" priority="60">
      <formula>$B113="popup"</formula>
    </cfRule>
    <cfRule type="expression" dxfId="60" priority="61">
      <formula>$B113="switchTo"</formula>
    </cfRule>
    <cfRule type="expression" dxfId="59" priority="62">
      <formula>$B113="wait"</formula>
    </cfRule>
  </conditionalFormatting>
  <conditionalFormatting sqref="B113">
    <cfRule type="expression" dxfId="58" priority="59">
      <formula>$B113="label"</formula>
    </cfRule>
  </conditionalFormatting>
  <conditionalFormatting sqref="C38:F38">
    <cfRule type="expression" dxfId="57" priority="55">
      <formula>$B38="switchTo"</formula>
    </cfRule>
    <cfRule type="expression" dxfId="56" priority="56">
      <formula>$B38="wait"</formula>
    </cfRule>
  </conditionalFormatting>
  <conditionalFormatting sqref="C38:F38">
    <cfRule type="expression" dxfId="55" priority="54">
      <formula>$B38="popup"</formula>
    </cfRule>
    <cfRule type="expression" dxfId="54" priority="57">
      <formula>$B38="switchTo"</formula>
    </cfRule>
    <cfRule type="expression" dxfId="53" priority="58">
      <formula>$B38="wait"</formula>
    </cfRule>
  </conditionalFormatting>
  <conditionalFormatting sqref="C38:F38">
    <cfRule type="expression" dxfId="52" priority="53">
      <formula>$B38="label"</formula>
    </cfRule>
  </conditionalFormatting>
  <conditionalFormatting sqref="D79:F79">
    <cfRule type="expression" dxfId="51" priority="50">
      <formula>$B79="popup"</formula>
    </cfRule>
    <cfRule type="expression" dxfId="50" priority="51">
      <formula>$B79="switchTo"</formula>
    </cfRule>
    <cfRule type="expression" dxfId="49" priority="52">
      <formula>$B79="wait"</formula>
    </cfRule>
  </conditionalFormatting>
  <conditionalFormatting sqref="D79:F79">
    <cfRule type="expression" dxfId="48" priority="49">
      <formula>$B79="label"</formula>
    </cfRule>
  </conditionalFormatting>
  <conditionalFormatting sqref="B79:C79">
    <cfRule type="expression" dxfId="47" priority="46">
      <formula>$B79="popup"</formula>
    </cfRule>
    <cfRule type="expression" dxfId="46" priority="47">
      <formula>$B79="switchTo"</formula>
    </cfRule>
    <cfRule type="expression" dxfId="45" priority="48">
      <formula>$B79="wait"</formula>
    </cfRule>
  </conditionalFormatting>
  <conditionalFormatting sqref="B79:C79">
    <cfRule type="expression" dxfId="44" priority="45">
      <formula>$B79="label"</formula>
    </cfRule>
  </conditionalFormatting>
  <conditionalFormatting sqref="B83">
    <cfRule type="expression" dxfId="43" priority="41">
      <formula>$B83="label"</formula>
    </cfRule>
  </conditionalFormatting>
  <conditionalFormatting sqref="B83">
    <cfRule type="expression" dxfId="42" priority="42">
      <formula>$B83="popup"</formula>
    </cfRule>
    <cfRule type="expression" dxfId="41" priority="43">
      <formula>$B83="switchTo"</formula>
    </cfRule>
    <cfRule type="expression" dxfId="40" priority="44">
      <formula>$B83="wait"</formula>
    </cfRule>
  </conditionalFormatting>
  <conditionalFormatting sqref="D129 F129">
    <cfRule type="expression" dxfId="39" priority="38">
      <formula>$B129="popup"</formula>
    </cfRule>
    <cfRule type="expression" dxfId="38" priority="39">
      <formula>$B129="switchTo"</formula>
    </cfRule>
    <cfRule type="expression" dxfId="37" priority="40">
      <formula>$B129="wait"</formula>
    </cfRule>
  </conditionalFormatting>
  <conditionalFormatting sqref="B129">
    <cfRule type="expression" dxfId="36" priority="35">
      <formula>$B129="popup"</formula>
    </cfRule>
    <cfRule type="expression" dxfId="35" priority="36">
      <formula>$B129="switchTo"</formula>
    </cfRule>
    <cfRule type="expression" dxfId="34" priority="37">
      <formula>$B129="wait"</formula>
    </cfRule>
  </conditionalFormatting>
  <conditionalFormatting sqref="C129">
    <cfRule type="expression" dxfId="33" priority="32">
      <formula>$B129="popup"</formula>
    </cfRule>
    <cfRule type="expression" dxfId="32" priority="33">
      <formula>$B129="switchTo"</formula>
    </cfRule>
    <cfRule type="expression" dxfId="31" priority="34">
      <formula>$B129="wait"</formula>
    </cfRule>
  </conditionalFormatting>
  <conditionalFormatting sqref="F129 B129:D129">
    <cfRule type="expression" dxfId="30" priority="31">
      <formula>$B129="label"</formula>
    </cfRule>
  </conditionalFormatting>
  <conditionalFormatting sqref="E129">
    <cfRule type="expression" dxfId="29" priority="28">
      <formula>$B129="popup"</formula>
    </cfRule>
    <cfRule type="expression" dxfId="28" priority="29">
      <formula>$B129="switchTo"</formula>
    </cfRule>
    <cfRule type="expression" dxfId="27" priority="30">
      <formula>$B129="wait"</formula>
    </cfRule>
  </conditionalFormatting>
  <conditionalFormatting sqref="E129">
    <cfRule type="expression" dxfId="26" priority="27">
      <formula>$B129="label"</formula>
    </cfRule>
  </conditionalFormatting>
  <conditionalFormatting sqref="E26">
    <cfRule type="expression" dxfId="25" priority="24">
      <formula>$B26="popup"</formula>
    </cfRule>
    <cfRule type="expression" dxfId="24" priority="25">
      <formula>$B26="switchTo"</formula>
    </cfRule>
    <cfRule type="expression" dxfId="23" priority="26">
      <formula>$B26="wait"</formula>
    </cfRule>
  </conditionalFormatting>
  <conditionalFormatting sqref="E26">
    <cfRule type="expression" dxfId="22" priority="23">
      <formula>$B26="label"</formula>
    </cfRule>
  </conditionalFormatting>
  <conditionalFormatting sqref="D19:F19">
    <cfRule type="expression" dxfId="21" priority="20">
      <formula>$B19="popup"</formula>
    </cfRule>
    <cfRule type="expression" dxfId="20" priority="21">
      <formula>$B19="switchTo"</formula>
    </cfRule>
    <cfRule type="expression" dxfId="19" priority="22">
      <formula>$B19="wait"</formula>
    </cfRule>
  </conditionalFormatting>
  <conditionalFormatting sqref="D19:F19">
    <cfRule type="expression" dxfId="18" priority="19">
      <formula>$B19="label"</formula>
    </cfRule>
  </conditionalFormatting>
  <conditionalFormatting sqref="B19:C19">
    <cfRule type="expression" dxfId="17" priority="16">
      <formula>$B19="popup"</formula>
    </cfRule>
    <cfRule type="expression" dxfId="16" priority="17">
      <formula>$B19="switchTo"</formula>
    </cfRule>
    <cfRule type="expression" dxfId="15" priority="18">
      <formula>$B19="wait"</formula>
    </cfRule>
  </conditionalFormatting>
  <conditionalFormatting sqref="B19:C19">
    <cfRule type="expression" dxfId="14" priority="15">
      <formula>$B19="label"</formula>
    </cfRule>
  </conditionalFormatting>
  <conditionalFormatting sqref="D23 F23">
    <cfRule type="expression" dxfId="13" priority="12">
      <formula>$B23="popup"</formula>
    </cfRule>
    <cfRule type="expression" dxfId="12" priority="13">
      <formula>$B23="switchTo"</formula>
    </cfRule>
    <cfRule type="expression" dxfId="11" priority="14">
      <formula>$B23="wait"</formula>
    </cfRule>
  </conditionalFormatting>
  <conditionalFormatting sqref="B23">
    <cfRule type="expression" dxfId="10" priority="9">
      <formula>$B23="popup"</formula>
    </cfRule>
    <cfRule type="expression" dxfId="9" priority="10">
      <formula>$B23="switchTo"</formula>
    </cfRule>
    <cfRule type="expression" dxfId="8" priority="11">
      <formula>$B23="wait"</formula>
    </cfRule>
  </conditionalFormatting>
  <conditionalFormatting sqref="C23">
    <cfRule type="expression" dxfId="7" priority="6">
      <formula>$B23="popup"</formula>
    </cfRule>
    <cfRule type="expression" dxfId="6" priority="7">
      <formula>$B23="switchTo"</formula>
    </cfRule>
    <cfRule type="expression" dxfId="5" priority="8">
      <formula>$B23="wait"</formula>
    </cfRule>
  </conditionalFormatting>
  <conditionalFormatting sqref="F23 B23:D23">
    <cfRule type="expression" dxfId="4" priority="5">
      <formula>$B23="label"</formula>
    </cfRule>
  </conditionalFormatting>
  <conditionalFormatting sqref="E23">
    <cfRule type="expression" dxfId="3" priority="2">
      <formula>$B23="popup"</formula>
    </cfRule>
    <cfRule type="expression" dxfId="2" priority="3">
      <formula>$B23="switchTo"</formula>
    </cfRule>
    <cfRule type="expression" dxfId="1" priority="4">
      <formula>$B23="wait"</formula>
    </cfRule>
  </conditionalFormatting>
  <conditionalFormatting sqref="E23">
    <cfRule type="expression" dxfId="0" priority="1">
      <formula>$B23="label"</formula>
    </cfRule>
  </conditionalFormatting>
  <hyperlinks>
    <hyperlink ref="C20" r:id="rId1" xr:uid="{BFBB7F87-71B9-414C-A7DA-F1F7916C8A2A}"/>
    <hyperlink ref="C131" r:id="rId2" xr:uid="{93F00438-5FCF-458D-AB03-5AF7BF02DC39}"/>
    <hyperlink ref="C97" r:id="rId3" xr:uid="{4CA8E224-A080-4656-8F07-6BF8FE13BA5A}"/>
    <hyperlink ref="C115" r:id="rId4" xr:uid="{BF5EA159-A3F9-4654-B940-C72C249659BC}"/>
    <hyperlink ref="C12" r:id="rId5" xr:uid="{70C9D14B-B802-48D1-84C5-1D1683F15EDD}"/>
  </hyperlinks>
  <pageMargins left="0.7" right="0.7" top="0.75" bottom="0.75" header="0.3" footer="0.3"/>
  <pageSetup paperSize="9" orientation="portrait" r:id="rId6"/>
  <drawing r:id="rId7"/>
  <legacyDrawing r:id="rId8"/>
  <controls>
    <mc:AlternateContent xmlns:mc="http://schemas.openxmlformats.org/markup-compatibility/2006">
      <mc:Choice Requires="x14">
        <control shapeId="11265" r:id="rId9" name="btnExportYML">
          <controlPr defaultSize="0" autoLine="0" r:id="rId10">
            <anchor moveWithCells="1">
              <from>
                <xdr:col>2</xdr:col>
                <xdr:colOff>1554480</xdr:colOff>
                <xdr:row>1</xdr:row>
                <xdr:rowOff>60960</xdr:rowOff>
              </from>
              <to>
                <xdr:col>2</xdr:col>
                <xdr:colOff>2674620</xdr:colOff>
                <xdr:row>2</xdr:row>
                <xdr:rowOff>182880</xdr:rowOff>
              </to>
            </anchor>
          </controlPr>
        </control>
      </mc:Choice>
      <mc:Fallback>
        <control shapeId="11265" r:id="rId9" name="btnExportYM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data</vt:lpstr>
      <vt:lpstr>readme</vt:lpstr>
      <vt:lpstr>sample-jae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xiaoguang wang</cp:lastModifiedBy>
  <dcterms:created xsi:type="dcterms:W3CDTF">2021-03-30T01:23:51Z</dcterms:created>
  <dcterms:modified xsi:type="dcterms:W3CDTF">2021-07-06T04:08:27Z</dcterms:modified>
</cp:coreProperties>
</file>