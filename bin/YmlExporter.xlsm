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tool\textconv\bin\"/>
    </mc:Choice>
  </mc:AlternateContent>
  <bookViews>
    <workbookView xWindow="0" yWindow="0" windowWidth="15690" windowHeight="6480" activeTab="1"/>
  </bookViews>
  <sheets>
    <sheet name="approve" sheetId="2" r:id="rId1"/>
    <sheet name="PurReq" sheetId="4" r:id="rId2"/>
    <sheet name="Entertainment" sheetId="8" r:id="rId3"/>
  </sheets>
  <functionGroups builtInGroupCount="18"/>
  <externalReferences>
    <externalReference r:id="rId4"/>
  </externalReferences>
  <definedNames>
    <definedName name="COMPONENT">[1]Step!$B$5</definedName>
    <definedName name="HOSTADDRESS">[1]config!$B$1</definedName>
    <definedName name="iapupdateflg">[1]Step!$B$8</definedName>
    <definedName name="IMVERSION">[1]Step!$B$4</definedName>
    <definedName name="JDKVERSION">[1]Step!$B$6</definedName>
    <definedName name="LOCALDATAPATH">[1]config!$B$8</definedName>
    <definedName name="LOGPATH">[1]config!$B$4</definedName>
    <definedName name="PASSWORD">[1]config!$B$3</definedName>
    <definedName name="PROJECTNAME">[1]Step!$B$1</definedName>
    <definedName name="TTLTIMEOUT">[1]config!$B$9</definedName>
    <definedName name="USERNAME">[1]config!$B$2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6" i="4" l="1"/>
  <c r="A169" i="4"/>
  <c r="A152" i="4"/>
  <c r="A151" i="4"/>
  <c r="A118" i="4"/>
  <c r="A122" i="4"/>
  <c r="A121" i="4"/>
  <c r="A123" i="4"/>
  <c r="A124" i="4"/>
  <c r="A125" i="4"/>
  <c r="A126" i="4"/>
  <c r="A127" i="4"/>
  <c r="A128" i="4"/>
  <c r="A129" i="4"/>
  <c r="A130" i="4"/>
  <c r="A131" i="4"/>
  <c r="A132" i="4"/>
  <c r="A150" i="4"/>
  <c r="A149" i="4"/>
  <c r="A148" i="4"/>
  <c r="A117" i="4"/>
  <c r="A115" i="4"/>
  <c r="A116" i="4" l="1"/>
  <c r="A114" i="4"/>
  <c r="A26" i="4"/>
  <c r="A29" i="4"/>
  <c r="A28" i="4"/>
  <c r="A27" i="4"/>
  <c r="A133" i="4" l="1"/>
  <c r="A32" i="4"/>
  <c r="A41" i="4"/>
  <c r="A40" i="4"/>
  <c r="A71" i="4"/>
  <c r="A70" i="4"/>
  <c r="A69" i="4"/>
  <c r="A68" i="4"/>
  <c r="A67" i="4"/>
  <c r="A66" i="4"/>
  <c r="A61" i="4"/>
  <c r="A60" i="4"/>
  <c r="A59" i="4"/>
  <c r="A58" i="4"/>
  <c r="A57" i="4"/>
  <c r="A56" i="4"/>
  <c r="A55" i="4"/>
  <c r="A54" i="4"/>
  <c r="A53" i="4"/>
  <c r="A52" i="4"/>
  <c r="A51" i="4"/>
  <c r="A50" i="4"/>
  <c r="A49" i="4"/>
  <c r="A48" i="4"/>
  <c r="A47" i="4"/>
  <c r="A46" i="4"/>
  <c r="A45" i="4"/>
  <c r="A44" i="4"/>
  <c r="A43" i="4"/>
  <c r="A42" i="4"/>
  <c r="L17" i="4"/>
  <c r="L16" i="4"/>
  <c r="L15" i="4"/>
  <c r="L14" i="4"/>
  <c r="L13" i="4"/>
  <c r="L12" i="4"/>
  <c r="L11" i="4"/>
  <c r="L10" i="4"/>
  <c r="L9" i="4"/>
  <c r="L8" i="4"/>
  <c r="L7" i="4"/>
  <c r="L5" i="4"/>
  <c r="L4" i="4"/>
  <c r="L3" i="4"/>
  <c r="L2" i="4"/>
  <c r="A142" i="8"/>
  <c r="A141" i="8"/>
  <c r="A140" i="8"/>
  <c r="A139" i="8"/>
  <c r="A138" i="8"/>
  <c r="A137" i="8"/>
  <c r="A136" i="8"/>
  <c r="A135" i="8"/>
  <c r="A134" i="8"/>
  <c r="A133" i="8"/>
  <c r="A132" i="8"/>
  <c r="A131" i="8"/>
  <c r="A130" i="8"/>
  <c r="A129" i="8"/>
  <c r="A128" i="8"/>
  <c r="A127" i="8"/>
  <c r="A126" i="8"/>
  <c r="A125" i="8"/>
  <c r="A124" i="8"/>
  <c r="A123" i="8"/>
  <c r="A122" i="8"/>
  <c r="A121" i="8"/>
  <c r="A120" i="8"/>
  <c r="A119" i="8"/>
  <c r="A118" i="8"/>
  <c r="A117" i="8"/>
  <c r="A116" i="8"/>
  <c r="A115" i="8"/>
  <c r="A114" i="8"/>
  <c r="A113" i="8"/>
  <c r="A112" i="8"/>
  <c r="A111" i="8"/>
  <c r="A110" i="8"/>
  <c r="A109" i="8"/>
  <c r="A108" i="8"/>
  <c r="A107" i="8"/>
  <c r="A106" i="8"/>
  <c r="A105" i="8"/>
  <c r="A104" i="8"/>
  <c r="A103" i="8"/>
  <c r="A102" i="8"/>
  <c r="A101" i="8"/>
  <c r="A100" i="8"/>
  <c r="A99" i="8"/>
  <c r="A98" i="8"/>
  <c r="A97" i="8"/>
  <c r="A96" i="8"/>
  <c r="A95" i="8"/>
  <c r="A94" i="8"/>
  <c r="A93" i="8"/>
  <c r="A92" i="8"/>
  <c r="A91" i="8"/>
  <c r="A90" i="8"/>
  <c r="A89" i="8"/>
  <c r="A88" i="8"/>
  <c r="A87" i="8"/>
  <c r="A86" i="8"/>
  <c r="A85" i="8"/>
  <c r="A84" i="8"/>
  <c r="A83" i="8"/>
  <c r="A82" i="8"/>
  <c r="A81" i="8"/>
  <c r="A80" i="8"/>
  <c r="A79" i="8"/>
  <c r="A78" i="8"/>
  <c r="A77" i="8"/>
  <c r="A76" i="8"/>
  <c r="A75" i="8"/>
  <c r="A74" i="8"/>
  <c r="A73" i="8"/>
  <c r="A72" i="8"/>
  <c r="A71" i="8"/>
  <c r="A70" i="8"/>
  <c r="L69" i="8"/>
  <c r="A69" i="8"/>
  <c r="A68" i="8"/>
  <c r="A67" i="8"/>
  <c r="A66" i="8"/>
  <c r="A65" i="8"/>
  <c r="A64" i="8"/>
  <c r="A63" i="8"/>
  <c r="A62" i="8"/>
  <c r="A61" i="8"/>
  <c r="A60" i="8"/>
  <c r="A59" i="8"/>
  <c r="A58" i="8"/>
  <c r="A57" i="8"/>
  <c r="L56" i="8"/>
  <c r="A56" i="8"/>
  <c r="A55" i="8"/>
  <c r="A54" i="8"/>
  <c r="A53" i="8"/>
  <c r="A52" i="8"/>
  <c r="A51" i="8"/>
  <c r="L50" i="8"/>
  <c r="A50" i="8"/>
  <c r="A49" i="8"/>
  <c r="A48" i="8"/>
  <c r="A47" i="8"/>
  <c r="A46" i="8"/>
  <c r="A45" i="8"/>
  <c r="A44" i="8"/>
  <c r="A43" i="8"/>
  <c r="A42" i="8"/>
  <c r="A41" i="8"/>
  <c r="A40" i="8"/>
  <c r="A39" i="8"/>
  <c r="A38" i="8"/>
  <c r="A37" i="8"/>
  <c r="A36" i="8"/>
  <c r="A35" i="8"/>
  <c r="A34" i="8"/>
  <c r="A33" i="8"/>
  <c r="L32" i="8"/>
  <c r="A32" i="8"/>
  <c r="D31" i="8"/>
  <c r="A31" i="8"/>
  <c r="A30" i="8"/>
  <c r="A29" i="8"/>
  <c r="A28" i="8"/>
  <c r="D27" i="8"/>
  <c r="A27" i="8"/>
  <c r="A26" i="8"/>
  <c r="A25" i="8"/>
  <c r="A24" i="8"/>
  <c r="A23" i="8"/>
  <c r="A22" i="8"/>
  <c r="A21" i="8"/>
  <c r="A20" i="8"/>
  <c r="A19" i="8"/>
  <c r="L18" i="8"/>
  <c r="A18" i="8"/>
  <c r="L17" i="8"/>
  <c r="A17" i="8"/>
  <c r="L16" i="8"/>
  <c r="A16" i="8"/>
  <c r="L15" i="8"/>
  <c r="A15" i="8"/>
  <c r="L14" i="8"/>
  <c r="A14" i="8"/>
  <c r="L13" i="8"/>
  <c r="A13" i="8"/>
  <c r="L12" i="8"/>
  <c r="A12" i="8"/>
  <c r="A11" i="8"/>
  <c r="L10" i="8"/>
  <c r="L9" i="8"/>
  <c r="K6" i="8"/>
  <c r="K5" i="8"/>
  <c r="K4" i="8"/>
  <c r="K3" i="8"/>
  <c r="K2" i="8"/>
  <c r="C2" i="8"/>
  <c r="A33" i="4"/>
  <c r="A30" i="4"/>
  <c r="A34" i="4"/>
  <c r="D31" i="4"/>
  <c r="A31" i="4"/>
  <c r="A161" i="4"/>
  <c r="D3" i="8"/>
  <c r="D3" i="4"/>
  <c r="M6" i="4" l="1"/>
  <c r="D56" i="4"/>
  <c r="D52" i="4"/>
  <c r="D55" i="4"/>
  <c r="D51" i="4"/>
  <c r="D54" i="4"/>
  <c r="D53" i="4"/>
  <c r="D48" i="4"/>
  <c r="D44" i="4"/>
  <c r="D49" i="4"/>
  <c r="D47" i="4"/>
  <c r="D43" i="4"/>
  <c r="D46" i="4"/>
  <c r="D45" i="4"/>
  <c r="D42" i="4"/>
  <c r="M16" i="4"/>
  <c r="M14" i="4"/>
  <c r="M12" i="4"/>
  <c r="M10" i="4"/>
  <c r="M8" i="4"/>
  <c r="M4" i="4"/>
  <c r="M2" i="4"/>
  <c r="M13" i="4"/>
  <c r="M11" i="4"/>
  <c r="M9" i="4"/>
  <c r="M5" i="4"/>
  <c r="M15" i="4"/>
  <c r="M7" i="4"/>
  <c r="M3" i="4"/>
  <c r="D113" i="8"/>
  <c r="D45" i="8"/>
  <c r="D43" i="8"/>
  <c r="D41" i="8"/>
  <c r="D39" i="8"/>
  <c r="D37" i="8"/>
  <c r="M17" i="8"/>
  <c r="M13" i="8"/>
  <c r="L2" i="8"/>
  <c r="D54" i="8"/>
  <c r="D52" i="8"/>
  <c r="M50" i="8"/>
  <c r="M18" i="8"/>
  <c r="M14" i="8"/>
  <c r="M9" i="8"/>
  <c r="L5" i="8"/>
  <c r="L3" i="8"/>
  <c r="L6" i="8"/>
  <c r="M56" i="8"/>
  <c r="D118" i="8"/>
  <c r="D112" i="8"/>
  <c r="M69" i="8"/>
  <c r="D44" i="8"/>
  <c r="D42" i="8"/>
  <c r="D40" i="8"/>
  <c r="D38" i="8"/>
  <c r="D36" i="8"/>
  <c r="M15" i="8"/>
  <c r="D135" i="8"/>
  <c r="D128" i="8"/>
  <c r="D53" i="8"/>
  <c r="D51" i="8"/>
  <c r="M32" i="8"/>
  <c r="M16" i="8"/>
  <c r="M12" i="8"/>
  <c r="M10" i="8"/>
  <c r="L4" i="8"/>
  <c r="A96" i="4" l="1"/>
  <c r="A167" i="4" l="1"/>
  <c r="A172" i="4" l="1"/>
  <c r="A171" i="4"/>
  <c r="A170" i="4"/>
  <c r="A168" i="4"/>
  <c r="A166" i="4"/>
  <c r="A165" i="4"/>
  <c r="A164" i="4"/>
  <c r="A163" i="4"/>
  <c r="A162" i="4"/>
  <c r="A160" i="4"/>
  <c r="A159" i="4"/>
  <c r="A158" i="4"/>
  <c r="A157" i="4"/>
  <c r="A156" i="4"/>
  <c r="A155" i="4"/>
  <c r="A154" i="4"/>
  <c r="A153" i="4"/>
  <c r="A147" i="4"/>
  <c r="A146" i="4"/>
  <c r="A145" i="4"/>
  <c r="A144" i="4"/>
  <c r="A143" i="4"/>
  <c r="A142" i="4"/>
  <c r="A141" i="4"/>
  <c r="A140" i="4"/>
  <c r="A139" i="4"/>
  <c r="A138" i="4"/>
  <c r="A137" i="4"/>
  <c r="A136" i="4"/>
  <c r="A135" i="4"/>
  <c r="A134" i="4"/>
  <c r="A113" i="4"/>
  <c r="A112" i="4"/>
  <c r="A111" i="4"/>
  <c r="A110" i="4"/>
  <c r="A109" i="4"/>
  <c r="A108" i="4"/>
  <c r="A107" i="4"/>
  <c r="A106" i="4"/>
  <c r="A105" i="4"/>
  <c r="A104" i="4"/>
  <c r="A103" i="4"/>
  <c r="A102" i="4"/>
  <c r="A101" i="4"/>
  <c r="A100" i="4"/>
  <c r="A99" i="4"/>
  <c r="A98" i="4"/>
  <c r="A97" i="4"/>
  <c r="A95" i="4"/>
  <c r="A94" i="4"/>
  <c r="A93" i="4"/>
  <c r="A92" i="4"/>
  <c r="A91" i="4"/>
  <c r="A90" i="4"/>
  <c r="A89" i="4"/>
  <c r="A88" i="4"/>
  <c r="A87" i="4"/>
  <c r="A86" i="4"/>
  <c r="A85" i="4"/>
  <c r="A84" i="4"/>
  <c r="A83" i="4"/>
  <c r="A82" i="4"/>
  <c r="A81" i="4"/>
  <c r="A80" i="4"/>
  <c r="A79" i="4"/>
  <c r="A78" i="4"/>
  <c r="A77" i="4"/>
  <c r="A76" i="4"/>
  <c r="A75" i="4"/>
  <c r="A74" i="4"/>
  <c r="A73" i="4"/>
  <c r="A72" i="4"/>
  <c r="A65" i="4"/>
  <c r="A64" i="4"/>
  <c r="A63" i="4"/>
  <c r="A62" i="4"/>
  <c r="A39" i="4"/>
  <c r="A38" i="4"/>
  <c r="A37" i="4"/>
  <c r="A36" i="4"/>
  <c r="A35" i="4"/>
  <c r="A25" i="4"/>
  <c r="A24" i="4"/>
  <c r="A23" i="4"/>
  <c r="A22" i="4"/>
  <c r="A21" i="4"/>
  <c r="A20" i="4"/>
  <c r="A19" i="4"/>
  <c r="A18" i="4"/>
  <c r="A17" i="4"/>
  <c r="A16" i="4"/>
  <c r="A15" i="4"/>
  <c r="A14" i="4"/>
  <c r="A13" i="4"/>
  <c r="A12" i="4"/>
  <c r="A11" i="4"/>
  <c r="D164" i="4" l="1"/>
  <c r="D157" i="4"/>
  <c r="D139" i="4" l="1"/>
  <c r="D24" i="2" l="1"/>
  <c r="A24" i="2"/>
  <c r="A23" i="2"/>
  <c r="A18" i="2"/>
  <c r="D35" i="4"/>
  <c r="C2" i="4"/>
  <c r="D84" i="4" l="1"/>
  <c r="A17" i="2"/>
  <c r="A25" i="2"/>
  <c r="A26" i="2"/>
  <c r="A16" i="2"/>
  <c r="A15" i="2"/>
  <c r="A22" i="2"/>
  <c r="A21" i="2"/>
  <c r="A20" i="2"/>
  <c r="A19" i="2"/>
  <c r="A27" i="2"/>
  <c r="A14" i="2"/>
  <c r="A13" i="2"/>
  <c r="A12" i="2"/>
  <c r="A11" i="2"/>
  <c r="A10" i="2"/>
  <c r="A9" i="2"/>
  <c r="A8" i="2"/>
  <c r="A7" i="2"/>
  <c r="D19" i="2"/>
  <c r="C2" i="2"/>
  <c r="D140" i="4" l="1"/>
  <c r="D83" i="4"/>
  <c r="D144" i="4"/>
  <c r="D85" i="4"/>
  <c r="D82" i="4"/>
</calcChain>
</file>

<file path=xl/comments1.xml><?xml version="1.0" encoding="utf-8"?>
<comments xmlns="http://schemas.openxmlformats.org/spreadsheetml/2006/main">
  <authors>
    <author>王 小広</author>
  </authors>
  <commentList>
    <comment ref="E10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王 小広:</t>
        </r>
        <r>
          <rPr>
            <sz val="9"/>
            <color indexed="81"/>
            <rFont val="MS P ゴシック"/>
            <family val="3"/>
            <charset val="128"/>
          </rPr>
          <t xml:space="preserve">
1:force shot
-1:skip shot</t>
        </r>
      </text>
    </comment>
  </commentList>
</comments>
</file>

<file path=xl/comments2.xml><?xml version="1.0" encoding="utf-8"?>
<comments xmlns="http://schemas.openxmlformats.org/spreadsheetml/2006/main">
  <authors>
    <author>王 小広</author>
  </authors>
  <commentList>
    <comment ref="E10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王 小広:</t>
        </r>
        <r>
          <rPr>
            <sz val="9"/>
            <color indexed="81"/>
            <rFont val="MS P ゴシック"/>
            <family val="3"/>
            <charset val="128"/>
          </rPr>
          <t xml:space="preserve">
1:force shot
-1:skip shot</t>
        </r>
      </text>
    </comment>
  </commentList>
</comments>
</file>

<file path=xl/sharedStrings.xml><?xml version="1.0" encoding="utf-8"?>
<sst xmlns="http://schemas.openxmlformats.org/spreadsheetml/2006/main" count="914" uniqueCount="274">
  <si>
    <t>open</t>
  </si>
  <si>
    <t>open</t>
    <phoneticPr fontId="1"/>
  </si>
  <si>
    <t>http://localhost:8080/imart/system/login</t>
  </si>
  <si>
    <t>http://localhost:8080/imart/login</t>
  </si>
  <si>
    <t>resize</t>
  </si>
  <si>
    <t>window</t>
    <phoneticPr fontId="1"/>
  </si>
  <si>
    <t>click</t>
  </si>
  <si>
    <t>click</t>
    <phoneticPr fontId="1"/>
  </si>
  <si>
    <t>css=.imui-btn-login</t>
    <phoneticPr fontId="1"/>
  </si>
  <si>
    <t>wait</t>
  </si>
  <si>
    <t>http://localhost:8080/imart/menu/common/iframe_sender?menuId=im_bpw_entry</t>
    <phoneticPr fontId="1"/>
  </si>
  <si>
    <t>switchTo</t>
  </si>
  <si>
    <t>frame</t>
    <phoneticPr fontId="1"/>
  </si>
  <si>
    <t>XPath=//*[@name="category"]</t>
    <phoneticPr fontId="1"/>
  </si>
  <si>
    <t>click</t>
    <phoneticPr fontId="1"/>
  </si>
  <si>
    <t>name=search</t>
    <phoneticPr fontId="1"/>
  </si>
  <si>
    <t>XPathFormat=//*[contains(text(),'{0}')]/parent::tr/td[1]/a</t>
    <phoneticPr fontId="1"/>
  </si>
  <si>
    <t>command</t>
    <phoneticPr fontId="1"/>
  </si>
  <si>
    <t>target</t>
    <phoneticPr fontId="1"/>
  </si>
  <si>
    <t>Comment</t>
    <phoneticPr fontId="1"/>
  </si>
  <si>
    <t xml:space="preserve">#起票画面 </t>
    <phoneticPr fontId="1"/>
  </si>
  <si>
    <t>[]</t>
    <phoneticPr fontId="1"/>
  </si>
  <si>
    <t>[open, click]</t>
    <phoneticPr fontId="1"/>
  </si>
  <si>
    <t>#header</t>
    <phoneticPr fontId="1"/>
  </si>
  <si>
    <t>actions</t>
    <phoneticPr fontId="1"/>
  </si>
  <si>
    <t>interval</t>
    <phoneticPr fontId="1"/>
  </si>
  <si>
    <t>shotcmd_before</t>
    <phoneticPr fontId="1"/>
  </si>
  <si>
    <t>shotcmd_after</t>
    <phoneticPr fontId="1"/>
  </si>
  <si>
    <t>#details</t>
    <phoneticPr fontId="1"/>
  </si>
  <si>
    <t>id=im_user</t>
    <phoneticPr fontId="1"/>
  </si>
  <si>
    <t>DefaultContent</t>
  </si>
  <si>
    <t>name=process_name</t>
    <phoneticPr fontId="1"/>
  </si>
  <si>
    <t>name=draft_comment</t>
    <phoneticPr fontId="1"/>
  </si>
  <si>
    <t>type</t>
    <phoneticPr fontId="1"/>
  </si>
  <si>
    <t>name=mail_subject</t>
    <phoneticPr fontId="1"/>
  </si>
  <si>
    <t>linktext=検索</t>
    <rPh sb="9" eb="11">
      <t>ケンサク</t>
    </rPh>
    <phoneticPr fontId="1"/>
  </si>
  <si>
    <t>css=table:nth-child(9) strong &gt; a:nth-child(2) &gt; img</t>
    <phoneticPr fontId="1"/>
  </si>
  <si>
    <t>css=tr:nth-child(7) &gt; .list_data_bg &gt; input</t>
    <phoneticPr fontId="1"/>
  </si>
  <si>
    <t>css=tr:nth-child(8) &gt; .list_data_bg &gt; input</t>
  </si>
  <si>
    <t>css=tr:nth-child(9) &gt; .list_data_bg &gt; input</t>
  </si>
  <si>
    <t>name=regist</t>
    <phoneticPr fontId="1"/>
  </si>
  <si>
    <t>linktext=閉じる</t>
    <rPh sb="9" eb="10">
      <t>ト</t>
    </rPh>
    <phoneticPr fontId="1"/>
  </si>
  <si>
    <t>メイン画面へ戻る</t>
    <rPh sb="3" eb="5">
      <t>ガメン</t>
    </rPh>
    <rPh sb="6" eb="7">
      <t>モド</t>
    </rPh>
    <phoneticPr fontId="1"/>
  </si>
  <si>
    <t>name=mail_body</t>
    <phoneticPr fontId="1"/>
  </si>
  <si>
    <t>value</t>
    <phoneticPr fontId="1"/>
  </si>
  <si>
    <t>wangxg</t>
    <phoneticPr fontId="1"/>
  </si>
  <si>
    <t>IM_MAIN</t>
    <phoneticPr fontId="1"/>
  </si>
  <si>
    <t>1</t>
    <phoneticPr fontId="1"/>
  </si>
  <si>
    <t>root</t>
    <phoneticPr fontId="1"/>
  </si>
  <si>
    <t>0</t>
    <phoneticPr fontId="1"/>
  </si>
  <si>
    <t>click</t>
    <phoneticPr fontId="1"/>
  </si>
  <si>
    <t>＃BPW申請－共通</t>
    <rPh sb="4" eb="6">
      <t>シンセイ</t>
    </rPh>
    <rPh sb="7" eb="9">
      <t>キョウツウ</t>
    </rPh>
    <phoneticPr fontId="1"/>
  </si>
  <si>
    <t>sendkeys</t>
    <phoneticPr fontId="1"/>
  </si>
  <si>
    <t>{enter}</t>
    <phoneticPr fontId="1"/>
  </si>
  <si>
    <t>linktext=添付ファイル登録</t>
    <rPh sb="9" eb="11">
      <t>テンプ</t>
    </rPh>
    <rPh sb="15" eb="17">
      <t>トウロク</t>
    </rPh>
    <phoneticPr fontId="1"/>
  </si>
  <si>
    <t>name=content</t>
    <phoneticPr fontId="1"/>
  </si>
  <si>
    <t>name=regist</t>
    <phoneticPr fontId="1"/>
  </si>
  <si>
    <t>name=changeName</t>
    <phoneticPr fontId="1"/>
  </si>
  <si>
    <t>{home}+{end}{del}</t>
    <phoneticPr fontId="1"/>
  </si>
  <si>
    <t>login画面</t>
    <rPh sb="5" eb="7">
      <t>ガメン</t>
    </rPh>
    <phoneticPr fontId="1"/>
  </si>
  <si>
    <t>tenant取得の為</t>
    <rPh sb="6" eb="8">
      <t>シュトク</t>
    </rPh>
    <rPh sb="9" eb="10">
      <t>タメ</t>
    </rPh>
    <phoneticPr fontId="1"/>
  </si>
  <si>
    <t>ID入力</t>
    <rPh sb="2" eb="4">
      <t>ニュウリョク</t>
    </rPh>
    <phoneticPr fontId="1"/>
  </si>
  <si>
    <t>XPathFormat=//option[. = '{0}']</t>
    <phoneticPr fontId="1"/>
  </si>
  <si>
    <t>1800_JAE-US</t>
  </si>
  <si>
    <t>DropDown選択</t>
    <rPh sb="8" eb="10">
      <t>センタク</t>
    </rPh>
    <phoneticPr fontId="1"/>
  </si>
  <si>
    <t>Opion選定</t>
    <rPh sb="5" eb="7">
      <t>センテイ</t>
    </rPh>
    <phoneticPr fontId="1"/>
  </si>
  <si>
    <t>検索</t>
    <rPh sb="0" eb="2">
      <t>ケンサク</t>
    </rPh>
    <phoneticPr fontId="1"/>
  </si>
  <si>
    <t>＃mailto:ユーザ検索画面</t>
    <rPh sb="11" eb="13">
      <t>ケンサク</t>
    </rPh>
    <rPh sb="13" eb="15">
      <t>ガメン</t>
    </rPh>
    <phoneticPr fontId="1"/>
  </si>
  <si>
    <t>popup</t>
    <phoneticPr fontId="1"/>
  </si>
  <si>
    <t>＃添付ファイル登録画面</t>
    <rPh sb="1" eb="3">
      <t>テンプ</t>
    </rPh>
    <rPh sb="7" eb="9">
      <t>トウロク</t>
    </rPh>
    <rPh sb="9" eb="11">
      <t>ガメン</t>
    </rPh>
    <phoneticPr fontId="1"/>
  </si>
  <si>
    <t>下部の共通入力Frame</t>
    <rPh sb="0" eb="1">
      <t>シタ</t>
    </rPh>
    <rPh sb="3" eb="5">
      <t>キョウツウ</t>
    </rPh>
    <rPh sb="5" eb="7">
      <t>ニュウリョク</t>
    </rPh>
    <phoneticPr fontId="1"/>
  </si>
  <si>
    <t>登録・更新の切替</t>
    <rPh sb="0" eb="2">
      <t>トウロク</t>
    </rPh>
    <rPh sb="3" eb="5">
      <t>コウシン</t>
    </rPh>
    <rPh sb="6" eb="8">
      <t>キリカエ</t>
    </rPh>
    <phoneticPr fontId="1"/>
  </si>
  <si>
    <t>Xpath=//a[contains(@onclick, "submitAction")]</t>
    <phoneticPr fontId="1"/>
  </si>
  <si>
    <t>wait</t>
    <phoneticPr fontId="1"/>
  </si>
  <si>
    <t>name=save</t>
    <phoneticPr fontId="1"/>
  </si>
  <si>
    <t>決定</t>
    <rPh sb="0" eb="2">
      <t>ケッテイ</t>
    </rPh>
    <phoneticPr fontId="1"/>
  </si>
  <si>
    <t>alert</t>
    <phoneticPr fontId="1"/>
  </si>
  <si>
    <t>sendkeys</t>
    <phoneticPr fontId="1"/>
  </si>
  <si>
    <t>focus im_user input</t>
    <phoneticPr fontId="1"/>
  </si>
  <si>
    <t>delete all</t>
    <phoneticPr fontId="1"/>
  </si>
  <si>
    <t>#Title</t>
    <phoneticPr fontId="1"/>
  </si>
  <si>
    <t>#folder</t>
    <phoneticPr fontId="1"/>
  </si>
  <si>
    <t>webyml</t>
    <phoneticPr fontId="1"/>
  </si>
  <si>
    <t>C:\tool\textconv\bin\WebDriver.xml</t>
  </si>
  <si>
    <t>atachfile00002</t>
    <phoneticPr fontId="1"/>
  </si>
  <si>
    <t>1000x900</t>
    <phoneticPr fontId="1"/>
  </si>
  <si>
    <t>overwrite</t>
    <phoneticPr fontId="1"/>
  </si>
  <si>
    <t>#特定WFへ</t>
    <rPh sb="1" eb="3">
      <t>トクテイ</t>
    </rPh>
    <phoneticPr fontId="1"/>
  </si>
  <si>
    <t>IM_MAIN</t>
    <phoneticPr fontId="1"/>
  </si>
  <si>
    <t>1800_Customer Check</t>
    <phoneticPr fontId="1"/>
  </si>
  <si>
    <t>1500</t>
    <phoneticPr fontId="1"/>
  </si>
  <si>
    <t>ルーt１を選択</t>
    <rPh sb="5" eb="7">
      <t>センタク</t>
    </rPh>
    <phoneticPr fontId="1"/>
  </si>
  <si>
    <t>open</t>
    <phoneticPr fontId="1"/>
  </si>
  <si>
    <t>http://localhost:8080/imart/menu/common/iframe_sender?menuId=im_bpw_assued</t>
  </si>
  <si>
    <t>http://localhost:8080/imart/menu/common/iframe_sender?menuId=im_bpw_not_comp</t>
  </si>
  <si>
    <t>未処理案件一覧（本人用）</t>
    <rPh sb="0" eb="3">
      <t>ミショリ</t>
    </rPh>
    <rPh sb="3" eb="5">
      <t>アンケン</t>
    </rPh>
    <rPh sb="5" eb="7">
      <t>イチラン</t>
    </rPh>
    <rPh sb="8" eb="10">
      <t>ホンニン</t>
    </rPh>
    <rPh sb="10" eb="11">
      <t>ヨウ</t>
    </rPh>
    <phoneticPr fontId="1"/>
  </si>
  <si>
    <t>起票済案件一覧（本人用）</t>
    <rPh sb="0" eb="2">
      <t>キヒョウ</t>
    </rPh>
    <rPh sb="2" eb="3">
      <t>スミ</t>
    </rPh>
    <rPh sb="3" eb="5">
      <t>アンケン</t>
    </rPh>
    <rPh sb="5" eb="7">
      <t>イチラン</t>
    </rPh>
    <rPh sb="8" eb="10">
      <t>ホンニン</t>
    </rPh>
    <rPh sb="10" eb="11">
      <t>ヨウ</t>
    </rPh>
    <phoneticPr fontId="1"/>
  </si>
  <si>
    <t>案件名称</t>
    <rPh sb="0" eb="2">
      <t>アンケン</t>
    </rPh>
    <rPh sb="2" eb="4">
      <t>メイショウ</t>
    </rPh>
    <phoneticPr fontId="1"/>
  </si>
  <si>
    <t>1800_Customer Check-2021-03-31-180730</t>
    <phoneticPr fontId="1"/>
  </si>
  <si>
    <t>name=receive_comment</t>
    <phoneticPr fontId="1"/>
  </si>
  <si>
    <t>XPathFormat=//*[contains(text(),"{0}")]/parent::tr/td[1]/a</t>
    <phoneticPr fontId="1"/>
  </si>
  <si>
    <t>overwrite</t>
  </si>
  <si>
    <t>overwrite</t>
    <phoneticPr fontId="1"/>
  </si>
  <si>
    <t>item_id</t>
  </si>
  <si>
    <t>input_length</t>
  </si>
  <si>
    <t>5hxa4abl67jb6e9</t>
  </si>
  <si>
    <t>5hxa4abnxrrdhe9</t>
  </si>
  <si>
    <t>5hxa4abpv9xgbe9</t>
  </si>
  <si>
    <t>5hxa4abp2lsefe9</t>
  </si>
  <si>
    <t>5hxa4abrilci7e9</t>
  </si>
  <si>
    <t>5hx8wnpmmrka5e9</t>
  </si>
  <si>
    <t>5hx8wnpr1eieme9</t>
  </si>
  <si>
    <t>5hx8wnt10p5upe9</t>
  </si>
  <si>
    <t>5hx8wnpxlgthne9</t>
  </si>
  <si>
    <t>5hx8wnt4h48xve9</t>
  </si>
  <si>
    <t>id=5hxa4abl67jb6e9</t>
  </si>
  <si>
    <t>id=5hxa4abnxrrdhe9</t>
  </si>
  <si>
    <t>id=5hxa4abpv9xgbe9</t>
  </si>
  <si>
    <t>id=5hxa4abp2lsefe9</t>
  </si>
  <si>
    <t>id=5hxa4abrilci7e9</t>
  </si>
  <si>
    <t>id=5hx8wnpmmrka5e9</t>
  </si>
  <si>
    <t>id=5hx8wnpr1eieme9</t>
  </si>
  <si>
    <t>id=5hx8wnt10p5upe9</t>
  </si>
  <si>
    <t>id=5hx8wnpxlgthne9</t>
  </si>
  <si>
    <t>id=5hx8wnt4h48xve9</t>
  </si>
  <si>
    <t>http://localhost:8080/imart/menu/common/iframe_sender?menuId=im_bpw_consented</t>
  </si>
  <si>
    <t>処理済案件一覧（本人用）</t>
    <rPh sb="0" eb="2">
      <t>ショリ</t>
    </rPh>
    <rPh sb="2" eb="3">
      <t>スミ</t>
    </rPh>
    <rPh sb="3" eb="5">
      <t>アンケン</t>
    </rPh>
    <rPh sb="5" eb="7">
      <t>イチラン</t>
    </rPh>
    <rPh sb="8" eb="10">
      <t>ホンニン</t>
    </rPh>
    <rPh sb="10" eb="11">
      <t>ヨウ</t>
    </rPh>
    <phoneticPr fontId="1"/>
  </si>
  <si>
    <t>http://localhost:8080/imart/menu/common/iframe_sender?menuId=im_bpw_reference</t>
  </si>
  <si>
    <t>参照案件一覧</t>
    <rPh sb="0" eb="2">
      <t>サンショウ</t>
    </rPh>
    <rPh sb="2" eb="4">
      <t>アンケン</t>
    </rPh>
    <rPh sb="4" eb="6">
      <t>イチラン</t>
    </rPh>
    <phoneticPr fontId="1"/>
  </si>
  <si>
    <t>close</t>
    <phoneticPr fontId="1"/>
  </si>
  <si>
    <t>http://localhost:8080/imart/logout</t>
    <phoneticPr fontId="1"/>
  </si>
  <si>
    <t>ログアウト</t>
    <phoneticPr fontId="1"/>
  </si>
  <si>
    <t>shotfromstep</t>
    <phoneticPr fontId="1"/>
  </si>
  <si>
    <t>未処理案件一覧（本人用）へ戻る</t>
    <rPh sb="0" eb="3">
      <t>ミショリ</t>
    </rPh>
    <rPh sb="3" eb="5">
      <t>アンケン</t>
    </rPh>
    <rPh sb="5" eb="7">
      <t>イチラン</t>
    </rPh>
    <rPh sb="8" eb="10">
      <t>ホンニン</t>
    </rPh>
    <rPh sb="10" eb="11">
      <t>ヨウ</t>
    </rPh>
    <rPh sb="13" eb="14">
      <t>モド</t>
    </rPh>
    <phoneticPr fontId="1"/>
  </si>
  <si>
    <t>frame0:検索、frame1:detail</t>
    <rPh sb="7" eb="9">
      <t>ケンサク</t>
    </rPh>
    <phoneticPr fontId="1"/>
  </si>
  <si>
    <t>var</t>
    <phoneticPr fontId="1"/>
  </si>
  <si>
    <t>ifvar</t>
    <phoneticPr fontId="1"/>
  </si>
  <si>
    <t>ルーt２を選択</t>
    <rPh sb="5" eb="7">
      <t>センタク</t>
    </rPh>
    <phoneticPr fontId="1"/>
  </si>
  <si>
    <t>routeX</t>
    <phoneticPr fontId="1"/>
  </si>
  <si>
    <t>routeX</t>
    <phoneticPr fontId="1"/>
  </si>
  <si>
    <t>2回目承認の場合</t>
    <rPh sb="1" eb="5">
      <t>カイメショウニン</t>
    </rPh>
    <rPh sb="6" eb="8">
      <t>バアイ</t>
    </rPh>
    <phoneticPr fontId="1"/>
  </si>
  <si>
    <t>1回目承認の場合</t>
    <rPh sb="1" eb="5">
      <t>カイメショウニン</t>
    </rPh>
    <rPh sb="6" eb="8">
      <t>バアイ</t>
    </rPh>
    <phoneticPr fontId="1"/>
  </si>
  <si>
    <t>ルート変数チェック</t>
    <rPh sb="3" eb="5">
      <t>ヘンスウ</t>
    </rPh>
    <phoneticPr fontId="1"/>
  </si>
  <si>
    <t>1500</t>
    <phoneticPr fontId="1"/>
  </si>
  <si>
    <t>wait</t>
    <phoneticPr fontId="1"/>
  </si>
  <si>
    <t>switchTo</t>
    <phoneticPr fontId="1"/>
  </si>
  <si>
    <t>switchTo</t>
    <phoneticPr fontId="1"/>
  </si>
  <si>
    <t>label</t>
    <phoneticPr fontId="1"/>
  </si>
  <si>
    <t>route2</t>
    <phoneticPr fontId="1"/>
  </si>
  <si>
    <t>routeX=2;goto:route2</t>
    <phoneticPr fontId="1"/>
  </si>
  <si>
    <t>draft01</t>
    <phoneticPr fontId="1"/>
  </si>
  <si>
    <t>routeX=2;goto:draft01</t>
    <phoneticPr fontId="1"/>
  </si>
  <si>
    <t>route1</t>
    <phoneticPr fontId="1"/>
  </si>
  <si>
    <t>routeX=1;goto:route1</t>
    <phoneticPr fontId="1"/>
  </si>
  <si>
    <t>route2で再起票</t>
    <rPh sb="7" eb="10">
      <t>サイキヒョウ</t>
    </rPh>
    <phoneticPr fontId="1"/>
  </si>
  <si>
    <t>approve</t>
    <phoneticPr fontId="1"/>
  </si>
  <si>
    <t>complete</t>
    <phoneticPr fontId="1"/>
  </si>
  <si>
    <t>ifnot</t>
    <phoneticPr fontId="1"/>
  </si>
  <si>
    <t>XPathFormat=//*[contains(text(),"{0}")]/parent::tr/td[1]/a; goto:complete</t>
    <phoneticPr fontId="1"/>
  </si>
  <si>
    <t>上部のBPWフロー詳細</t>
    <rPh sb="0" eb="2">
      <t>ジョウブ</t>
    </rPh>
    <rPh sb="9" eb="11">
      <t>ショウサイ</t>
    </rPh>
    <phoneticPr fontId="1"/>
  </si>
  <si>
    <t>xpath=//img[contains(@onclick, "callNewEntry('00000000000000000001'")]</t>
    <phoneticPr fontId="1"/>
  </si>
  <si>
    <t>xpath=//img[contains(@onclick, "callNewEntry('00000000000000000002'")]</t>
    <phoneticPr fontId="1"/>
  </si>
  <si>
    <t>goto:approve</t>
    <phoneticPr fontId="1"/>
  </si>
  <si>
    <t>jump</t>
    <phoneticPr fontId="1"/>
  </si>
  <si>
    <t>http://localhost:8080/imart/menu/common/iframe_sender?menuId=im_bpw_not_comp</t>
    <phoneticPr fontId="1"/>
  </si>
  <si>
    <t>im_bpw_not_comp</t>
    <phoneticPr fontId="1"/>
  </si>
  <si>
    <t>goto:im_bpw_not_comp</t>
    <phoneticPr fontId="1"/>
  </si>
  <si>
    <t>[open, popup, click,switchwindow]</t>
    <phoneticPr fontId="1"/>
  </si>
  <si>
    <t>shotskip</t>
    <phoneticPr fontId="1"/>
  </si>
  <si>
    <t>16</t>
    <phoneticPr fontId="1"/>
  </si>
  <si>
    <t>フロー</t>
    <phoneticPr fontId="1"/>
  </si>
  <si>
    <t>window</t>
    <phoneticPr fontId="1"/>
  </si>
  <si>
    <t>ifnot</t>
    <phoneticPr fontId="1"/>
  </si>
  <si>
    <t>xpath=//img[contains(@onclick, "callNewEntry('00000000000000000001'")]; goto approve</t>
    <phoneticPr fontId="1"/>
  </si>
  <si>
    <t>詳細画面</t>
    <rPh sb="0" eb="2">
      <t>ショウサイ</t>
    </rPh>
    <rPh sb="2" eb="4">
      <t>ガメン</t>
    </rPh>
    <phoneticPr fontId="1"/>
  </si>
  <si>
    <t>click</t>
    <phoneticPr fontId="1"/>
  </si>
  <si>
    <t>ifind</t>
  </si>
  <si>
    <t>draft02</t>
    <phoneticPr fontId="1"/>
  </si>
  <si>
    <t>existFlow</t>
    <phoneticPr fontId="1"/>
  </si>
  <si>
    <t>goto</t>
    <phoneticPr fontId="1"/>
  </si>
  <si>
    <t>XPathFormat=//*[contains(text(),"{0}")]/parent::tr/td[1]/a;goto:draft02</t>
    <phoneticPr fontId="1"/>
  </si>
  <si>
    <t>XPath=//img[contains(@src,"next")]</t>
    <phoneticPr fontId="1"/>
  </si>
  <si>
    <t>true</t>
  </si>
  <si>
    <t>shotflag</t>
    <phoneticPr fontId="1"/>
  </si>
  <si>
    <t>-1</t>
    <phoneticPr fontId="1"/>
  </si>
  <si>
    <t>XPathFormat=//td[contains(text(),"{0}")]/parent::tr/td/a/img[contains(@src, "flow")]</t>
    <phoneticPr fontId="1"/>
  </si>
  <si>
    <t>XPathFormat=//td[contains(text(),"{0}")]/parent::tr/td/a/img[contains(@src, "arrival")]</t>
    <phoneticPr fontId="1"/>
  </si>
  <si>
    <t>1800_Entertainment(Sales &amp; Mktg Mgmt)</t>
    <phoneticPr fontId="1"/>
  </si>
  <si>
    <t>text_width</t>
  </si>
  <si>
    <t>5hxa7zflfnwwxe9</t>
  </si>
  <si>
    <t>« NULL »</t>
  </si>
  <si>
    <t>5hxa7zflkfcxte9</t>
  </si>
  <si>
    <t>5hxa7zfmka4yae9</t>
  </si>
  <si>
    <t>5hxa7zfmo2uyre9</t>
  </si>
  <si>
    <t>5hxa7zfyg0kege9</t>
  </si>
  <si>
    <t>5hxa7zfzhhjexe9</t>
  </si>
  <si>
    <t>5hxa7zfzn0rfwe9</t>
  </si>
  <si>
    <t>5hxa7zfzrwjhae9</t>
  </si>
  <si>
    <t>5hxa7zfzvoenwe9</t>
  </si>
  <si>
    <t>price10</t>
  </si>
  <si>
    <t>5hxa7z3e2mrybe9</t>
  </si>
  <si>
    <t>5hxa7z34emiure9</t>
  </si>
  <si>
    <t>5hxa7z36jq45pe9</t>
  </si>
  <si>
    <t>5hxa7z36s3r8be9</t>
  </si>
  <si>
    <t>5hxa7z3b83scwe9</t>
  </si>
  <si>
    <t>5hxa7z3o8014je9</t>
  </si>
  <si>
    <t>id=5hxa7zflfnwwxe9</t>
  </si>
  <si>
    <t>id=5hxa7zflkfcxte9</t>
  </si>
  <si>
    <t>id=5hxa7zfmka4yae9</t>
  </si>
  <si>
    <t>id=5hxa7zfmo2uyre9</t>
  </si>
  <si>
    <t>id=5hxa7zfyg0kege9</t>
  </si>
  <si>
    <t>id=5hxa7zfzhhjexe9</t>
  </si>
  <si>
    <t>id=5hxa7zfzn0rfwe9</t>
  </si>
  <si>
    <t>id=5hxa7zfzrwjhae9</t>
  </si>
  <si>
    <t>id=5hxa7z3e2mrybe9</t>
  </si>
  <si>
    <t>id=5hxa7z34emiure9</t>
  </si>
  <si>
    <t>id=5hxa7z36jq45pe9</t>
  </si>
  <si>
    <t>id=5hxa7z36s3r8be9</t>
  </si>
  <si>
    <t>id=5hxa7z3b83scwe9</t>
  </si>
  <si>
    <t>id=5hxa7z3o8014je9</t>
  </si>
  <si>
    <t>id=5hxa7zfzvoenwe9</t>
  </si>
  <si>
    <t>id=price10</t>
  </si>
  <si>
    <t>id=qty10</t>
  </si>
  <si>
    <t>id=price1</t>
  </si>
  <si>
    <t>id=qty1</t>
  </si>
  <si>
    <t>id=price9</t>
  </si>
  <si>
    <t>id=qty9</t>
  </si>
  <si>
    <t>id=price8</t>
  </si>
  <si>
    <t>id=qty8</t>
  </si>
  <si>
    <t>id=price7</t>
  </si>
  <si>
    <t>id=qty7</t>
  </si>
  <si>
    <t>id=price6</t>
  </si>
  <si>
    <t>id=qty6</t>
  </si>
  <si>
    <t>id=price5</t>
  </si>
  <si>
    <t>id=qty5</t>
  </si>
  <si>
    <t>id=price4</t>
  </si>
  <si>
    <t>id=qty4</t>
  </si>
  <si>
    <t>id=price3</t>
  </si>
  <si>
    <t>id=qty3</t>
  </si>
  <si>
    <t>id=price2</t>
  </si>
  <si>
    <t>id=qty2</t>
  </si>
  <si>
    <t>1800_PurReq</t>
    <phoneticPr fontId="1"/>
  </si>
  <si>
    <t>css=a:nth-child(7) &gt; img</t>
    <phoneticPr fontId="1"/>
  </si>
  <si>
    <t>click</t>
    <phoneticPr fontId="1"/>
  </si>
  <si>
    <t>css=a b</t>
    <phoneticPr fontId="1"/>
  </si>
  <si>
    <t>http://localhost:8080/imart/menu/common/iframe_sender?menuId=im_bpw_assued</t>
    <phoneticPr fontId="1"/>
  </si>
  <si>
    <t>1</t>
    <phoneticPr fontId="1"/>
  </si>
  <si>
    <t>Route選択</t>
    <rPh sb="5" eb="7">
      <t>センタク</t>
    </rPh>
    <phoneticPr fontId="1"/>
  </si>
  <si>
    <t>500</t>
    <phoneticPr fontId="1"/>
  </si>
  <si>
    <t>draft0001</t>
    <phoneticPr fontId="1"/>
  </si>
  <si>
    <t>im_bpw_assued</t>
    <phoneticPr fontId="1"/>
  </si>
  <si>
    <t>goto</t>
  </si>
  <si>
    <t>-1</t>
    <phoneticPr fontId="1"/>
  </si>
  <si>
    <t>xpath=//*[contains(text(),"起票(本人用)")]; goto:im_bpw_assued</t>
    <phoneticPr fontId="1"/>
  </si>
  <si>
    <t>ifind</t>
    <phoneticPr fontId="1"/>
  </si>
  <si>
    <t>http://localhost:8080/imart/menu/common/iframe_sender?menuId=im_bpw_consented</t>
    <phoneticPr fontId="1"/>
  </si>
  <si>
    <t>im_bpw_consented</t>
    <phoneticPr fontId="1"/>
  </si>
  <si>
    <t>ルート選択</t>
    <rPh sb="3" eb="5">
      <t>センタク</t>
    </rPh>
    <phoneticPr fontId="1"/>
  </si>
  <si>
    <t>ifvar</t>
    <phoneticPr fontId="1"/>
  </si>
  <si>
    <t>routeX=1;goto:route1</t>
    <phoneticPr fontId="1"/>
  </si>
  <si>
    <t>route1</t>
    <phoneticPr fontId="1"/>
  </si>
  <si>
    <t>承認</t>
    <rPh sb="0" eb="2">
      <t>ショウニン</t>
    </rPh>
    <phoneticPr fontId="1"/>
  </si>
  <si>
    <t>routeselect</t>
    <phoneticPr fontId="1"/>
  </si>
  <si>
    <t>xpath=//*[contains(text(),"ルート選択")]; goto:routeselect</t>
    <phoneticPr fontId="1"/>
  </si>
  <si>
    <t>im_bpw_not_comp</t>
    <phoneticPr fontId="1"/>
  </si>
  <si>
    <t>goto:im_bpw_not_comp</t>
    <phoneticPr fontId="1"/>
  </si>
  <si>
    <t>XPathFormat=//*[contains(text(),"{0}")]/parent::tr/td[1]/a; goto:im_bpw_consented</t>
    <phoneticPr fontId="1"/>
  </si>
  <si>
    <t>routeX=2;goto:draft01</t>
    <phoneticPr fontId="1"/>
  </si>
  <si>
    <t>var</t>
    <phoneticPr fontId="1"/>
  </si>
  <si>
    <t>hasroute</t>
    <phoneticPr fontId="1"/>
  </si>
  <si>
    <t>1800_Pur Req(Sales &amp; Mktg Mgmt)</t>
  </si>
  <si>
    <t>shotcmd</t>
    <phoneticPr fontId="1"/>
  </si>
  <si>
    <t>cal</t>
    <phoneticPr fontId="1"/>
  </si>
  <si>
    <t>routeX+1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</si>
</sst>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8">
    <font>
      <sz val="11"/>
      <color theme="1"/>
      <name val="游ゴシック"/>
      <family val="2"/>
      <scheme val="minor"/>
    </font>
    <font>
      <sz val="6"/>
      <name val="游ゴシック"/>
      <family val="3"/>
      <charset val="128"/>
      <scheme val="minor"/>
    </font>
    <font>
      <u/>
      <sz val="11"/>
      <color theme="10"/>
      <name val="游ゴシック"/>
      <family val="2"/>
      <scheme val="minor"/>
    </font>
    <font>
      <sz val="12"/>
      <color theme="1"/>
      <name val="メイリオ"/>
      <family val="3"/>
      <charset val="128"/>
    </font>
    <font>
      <b/>
      <sz val="11"/>
      <color rgb="FF000000"/>
      <name val="游ゴシック"/>
      <family val="3"/>
      <charset val="128"/>
      <scheme val="minor"/>
    </font>
    <font>
      <sz val="9"/>
      <color indexed="81"/>
      <name val="MS P ゴシック"/>
      <family val="3"/>
      <charset val="128"/>
    </font>
    <font>
      <b/>
      <sz val="9"/>
      <color indexed="81"/>
      <name val="MS P ゴシック"/>
      <family val="3"/>
      <charset val="128"/>
    </font>
    <font>
      <sz val="11"/>
      <color rgb="FF7F878F"/>
      <name val="游ゴシック"/>
      <family val="3"/>
      <charset val="128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87E7AD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79998168889431442"/>
        <bgColor theme="9" tint="0.79998168889431442"/>
      </patternFill>
    </fill>
  </fills>
  <borders count="3">
    <border>
      <left/>
      <right/>
      <top/>
      <bottom/>
      <diagonal/>
    </border>
    <border>
      <left style="thin">
        <color theme="9"/>
      </left>
      <right style="thin">
        <color theme="9"/>
      </right>
      <top style="thin">
        <color theme="9"/>
      </top>
      <bottom style="thin">
        <color theme="9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36">
    <xf numFmtId="0" fontId="0" fillId="0" borderId="0" xfId="0"/>
    <xf numFmtId="0" fontId="0" fillId="3" borderId="0" xfId="0" applyFill="1"/>
    <xf numFmtId="49" fontId="0" fillId="0" borderId="0" xfId="0" applyNumberFormat="1"/>
    <xf numFmtId="49" fontId="0" fillId="2" borderId="0" xfId="0" applyNumberFormat="1" applyFill="1"/>
    <xf numFmtId="49" fontId="0" fillId="2" borderId="0" xfId="0" applyNumberFormat="1" applyFill="1" applyAlignment="1">
      <alignment shrinkToFit="1"/>
    </xf>
    <xf numFmtId="49" fontId="0" fillId="0" borderId="0" xfId="0" applyNumberFormat="1" applyAlignment="1">
      <alignment shrinkToFit="1"/>
    </xf>
    <xf numFmtId="49" fontId="2" fillId="0" borderId="0" xfId="1" applyNumberFormat="1" applyAlignment="1">
      <alignment shrinkToFit="1"/>
    </xf>
    <xf numFmtId="0" fontId="0" fillId="0" borderId="0" xfId="0" applyNumberFormat="1"/>
    <xf numFmtId="0" fontId="0" fillId="4" borderId="0" xfId="0" applyFill="1"/>
    <xf numFmtId="49" fontId="0" fillId="4" borderId="0" xfId="0" applyNumberFormat="1" applyFill="1"/>
    <xf numFmtId="0" fontId="0" fillId="2" borderId="0" xfId="0" applyNumberFormat="1" applyFill="1" applyAlignment="1">
      <alignment shrinkToFit="1"/>
    </xf>
    <xf numFmtId="0" fontId="0" fillId="0" borderId="0" xfId="0" applyNumberFormat="1" applyAlignment="1">
      <alignment shrinkToFit="1"/>
    </xf>
    <xf numFmtId="0" fontId="2" fillId="0" borderId="0" xfId="1" applyNumberFormat="1" applyAlignment="1">
      <alignment shrinkToFit="1"/>
    </xf>
    <xf numFmtId="0" fontId="0" fillId="4" borderId="0" xfId="0" applyNumberFormat="1" applyFill="1" applyAlignment="1">
      <alignment shrinkToFit="1"/>
    </xf>
    <xf numFmtId="49" fontId="0" fillId="5" borderId="0" xfId="0" applyNumberFormat="1" applyFill="1"/>
    <xf numFmtId="49" fontId="0" fillId="5" borderId="0" xfId="0" applyNumberFormat="1" applyFill="1" applyAlignment="1">
      <alignment shrinkToFit="1"/>
    </xf>
    <xf numFmtId="0" fontId="0" fillId="5" borderId="0" xfId="0" applyNumberFormat="1" applyFill="1" applyAlignment="1">
      <alignment shrinkToFit="1"/>
    </xf>
    <xf numFmtId="49" fontId="0" fillId="0" borderId="0" xfId="0" applyNumberFormat="1" applyFill="1"/>
    <xf numFmtId="49" fontId="0" fillId="0" borderId="0" xfId="0" applyNumberFormat="1" applyFill="1" applyAlignment="1">
      <alignment shrinkToFit="1"/>
    </xf>
    <xf numFmtId="0" fontId="0" fillId="0" borderId="0" xfId="0" applyNumberFormat="1" applyFill="1" applyAlignment="1">
      <alignment shrinkToFit="1"/>
    </xf>
    <xf numFmtId="0" fontId="0" fillId="2" borderId="0" xfId="0" applyFill="1"/>
    <xf numFmtId="49" fontId="4" fillId="6" borderId="2" xfId="0" applyNumberFormat="1" applyFont="1" applyFill="1" applyBorder="1" applyAlignment="1">
      <alignment horizontal="left" vertical="center" wrapText="1"/>
    </xf>
    <xf numFmtId="49" fontId="0" fillId="0" borderId="2" xfId="0" applyNumberFormat="1" applyBorder="1" applyAlignment="1">
      <alignment vertical="center"/>
    </xf>
    <xf numFmtId="1" fontId="0" fillId="0" borderId="2" xfId="0" applyNumberFormat="1" applyBorder="1" applyAlignment="1">
      <alignment horizontal="right" vertical="center"/>
    </xf>
    <xf numFmtId="1" fontId="0" fillId="0" borderId="0" xfId="0" applyNumberFormat="1" applyBorder="1" applyAlignment="1">
      <alignment horizontal="right" vertical="center"/>
    </xf>
    <xf numFmtId="49" fontId="2" fillId="0" borderId="0" xfId="1" applyNumberFormat="1"/>
    <xf numFmtId="49" fontId="0" fillId="7" borderId="0" xfId="0" applyNumberFormat="1" applyFill="1"/>
    <xf numFmtId="49" fontId="0" fillId="7" borderId="0" xfId="0" applyNumberFormat="1" applyFill="1" applyAlignment="1">
      <alignment shrinkToFit="1"/>
    </xf>
    <xf numFmtId="0" fontId="0" fillId="7" borderId="0" xfId="0" applyNumberFormat="1" applyFill="1" applyAlignment="1">
      <alignment shrinkToFit="1"/>
    </xf>
    <xf numFmtId="0" fontId="3" fillId="0" borderId="1" xfId="0" applyFont="1" applyBorder="1" applyAlignment="1">
      <alignment vertical="top"/>
    </xf>
    <xf numFmtId="0" fontId="7" fillId="0" borderId="2" xfId="0" applyFont="1" applyBorder="1" applyAlignment="1">
      <alignment vertical="center"/>
    </xf>
    <xf numFmtId="14" fontId="0" fillId="0" borderId="0" xfId="0" applyNumberFormat="1" applyFill="1" applyAlignment="1">
      <alignment shrinkToFit="1"/>
    </xf>
    <xf numFmtId="49" fontId="0" fillId="0" borderId="0" xfId="0" applyNumberFormat="1" applyAlignment="1">
      <alignment wrapText="1" shrinkToFit="1"/>
    </xf>
    <xf numFmtId="49" fontId="0" fillId="7" borderId="0" xfId="0" applyNumberFormat="1" applyFill="1" applyAlignment="1">
      <alignment wrapText="1" shrinkToFit="1"/>
    </xf>
    <xf numFmtId="49" fontId="0" fillId="0" borderId="0" xfId="0" applyNumberFormat="1" applyFill="1" applyAlignment="1">
      <alignment wrapText="1" shrinkToFit="1"/>
    </xf>
    <xf numFmtId="0" fontId="3" fillId="8" borderId="1" xfId="0" applyFont="1" applyFill="1" applyBorder="1"/>
  </cellXfs>
  <cellStyles count="2">
    <cellStyle name="ハイパーリンク" xfId="1" builtinId="8"/>
    <cellStyle name="標準" xfId="0" builtinId="0"/>
  </cellStyles>
  <dxfs count="900"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2457450</xdr:colOff>
          <xdr:row>1</xdr:row>
          <xdr:rowOff>57150</xdr:rowOff>
        </xdr:from>
        <xdr:to>
          <xdr:col>2</xdr:col>
          <xdr:colOff>3581400</xdr:colOff>
          <xdr:row>2</xdr:row>
          <xdr:rowOff>190500</xdr:rowOff>
        </xdr:to>
        <xdr:sp macro="" textlink="">
          <xdr:nvSpPr>
            <xdr:cNvPr id="2050" name="btnExportYML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1549773</xdr:colOff>
          <xdr:row>1</xdr:row>
          <xdr:rowOff>57150</xdr:rowOff>
        </xdr:from>
        <xdr:to>
          <xdr:col>2</xdr:col>
          <xdr:colOff>2673723</xdr:colOff>
          <xdr:row>2</xdr:row>
          <xdr:rowOff>180975</xdr:rowOff>
        </xdr:to>
        <xdr:sp macro="" textlink="">
          <xdr:nvSpPr>
            <xdr:cNvPr id="4097" name="btnExportYML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2457450</xdr:colOff>
          <xdr:row>1</xdr:row>
          <xdr:rowOff>57150</xdr:rowOff>
        </xdr:from>
        <xdr:to>
          <xdr:col>2</xdr:col>
          <xdr:colOff>3581400</xdr:colOff>
          <xdr:row>2</xdr:row>
          <xdr:rowOff>180975</xdr:rowOff>
        </xdr:to>
        <xdr:sp macro="" textlink="">
          <xdr:nvSpPr>
            <xdr:cNvPr id="7169" name="btnExportYML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tool/im-convoy-macro/im-convoy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tep"/>
      <sheetName val="エラー"/>
      <sheetName val="config"/>
      <sheetName val="Step詳細"/>
      <sheetName val="疑問"/>
      <sheetName val="TTLScriptParm"/>
      <sheetName val="TTLScriptTemp"/>
      <sheetName val="SCPScriptTemp"/>
      <sheetName val="TeraTermRun"/>
      <sheetName val="for内部試験書"/>
      <sheetName val="ケース件数統計"/>
      <sheetName val="メイン画面"/>
      <sheetName val="動作確認結果"/>
      <sheetName val="Sheet1"/>
    </sheetNames>
    <sheetDataSet>
      <sheetData sheetId="0">
        <row r="1">
          <cell r="B1" t="str">
            <v>wztest.com</v>
          </cell>
        </row>
        <row r="4">
          <cell r="B4" t="str">
            <v>advanced-7.2.10</v>
          </cell>
        </row>
        <row r="5">
          <cell r="B5" t="str">
            <v>isp-7.1.5</v>
          </cell>
        </row>
        <row r="6">
          <cell r="B6">
            <v>11</v>
          </cell>
        </row>
        <row r="8">
          <cell r="B8" t="str">
            <v>はい</v>
          </cell>
        </row>
      </sheetData>
      <sheetData sheetId="1" refreshError="1"/>
      <sheetData sheetId="2">
        <row r="1">
          <cell r="B1" t="str">
            <v>192.16.108.30</v>
          </cell>
        </row>
        <row r="2">
          <cell r="B2" t="str">
            <v>eru</v>
          </cell>
        </row>
        <row r="3">
          <cell r="B3" t="str">
            <v>marinrattC51</v>
          </cell>
        </row>
        <row r="4">
          <cell r="B4" t="str">
            <v>C:\tool\im-convoy-macro\log</v>
          </cell>
        </row>
        <row r="8">
          <cell r="B8" t="str">
            <v>C:\tool\im-convoy-macro\resultdata</v>
          </cell>
        </row>
        <row r="9">
          <cell r="B9">
            <v>6000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2.vml"/><Relationship Id="rId3" Type="http://schemas.openxmlformats.org/officeDocument/2006/relationships/hyperlink" Target="http://localhost:8080/imart/menu/common/iframe_sender?menuId=im_bpw_not_comp" TargetMode="External"/><Relationship Id="rId7" Type="http://schemas.openxmlformats.org/officeDocument/2006/relationships/drawing" Target="../drawings/drawing2.xml"/><Relationship Id="rId2" Type="http://schemas.openxmlformats.org/officeDocument/2006/relationships/hyperlink" Target="http://localhost:8080/imart/logout" TargetMode="External"/><Relationship Id="rId1" Type="http://schemas.openxmlformats.org/officeDocument/2006/relationships/hyperlink" Target="http://localhost:8080/imart/menu/common/iframe_sender?menuId=im_bpw_entry" TargetMode="External"/><Relationship Id="rId6" Type="http://schemas.openxmlformats.org/officeDocument/2006/relationships/printerSettings" Target="../printerSettings/printerSettings2.bin"/><Relationship Id="rId11" Type="http://schemas.openxmlformats.org/officeDocument/2006/relationships/comments" Target="../comments1.xml"/><Relationship Id="rId5" Type="http://schemas.openxmlformats.org/officeDocument/2006/relationships/hyperlink" Target="http://localhost:8080/imart/menu/common/iframe_sender?menuId=im_bpw_consented" TargetMode="External"/><Relationship Id="rId10" Type="http://schemas.openxmlformats.org/officeDocument/2006/relationships/image" Target="../media/image2.emf"/><Relationship Id="rId4" Type="http://schemas.openxmlformats.org/officeDocument/2006/relationships/hyperlink" Target="http://localhost:8080/imart/menu/common/iframe_sender?menuId=im_bpw_assued" TargetMode="External"/><Relationship Id="rId9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hyperlink" Target="http://localhost:8080/imart/menu/common/iframe_sender?menuId=im_bpw_not_comp" TargetMode="External"/><Relationship Id="rId7" Type="http://schemas.openxmlformats.org/officeDocument/2006/relationships/control" Target="../activeX/activeX3.xml"/><Relationship Id="rId2" Type="http://schemas.openxmlformats.org/officeDocument/2006/relationships/hyperlink" Target="http://localhost:8080/imart/logout" TargetMode="External"/><Relationship Id="rId1" Type="http://schemas.openxmlformats.org/officeDocument/2006/relationships/hyperlink" Target="http://localhost:8080/imart/menu/common/iframe_sender?menuId=im_bpw_entry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Relationship Id="rId9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E27"/>
  <sheetViews>
    <sheetView zoomScale="85" zoomScaleNormal="85" workbookViewId="0">
      <selection activeCell="C21" sqref="C21"/>
    </sheetView>
  </sheetViews>
  <sheetFormatPr defaultRowHeight="18.75"/>
  <cols>
    <col min="1" max="1" width="16.5" bestFit="1" customWidth="1"/>
    <col min="2" max="2" width="14.375" style="2" customWidth="1"/>
    <col min="3" max="3" width="55.375" style="2" customWidth="1"/>
    <col min="4" max="4" width="26.5" style="11" customWidth="1"/>
    <col min="5" max="5" width="20.875" style="2" customWidth="1"/>
  </cols>
  <sheetData>
    <row r="1" spans="1:5">
      <c r="A1" s="8" t="s">
        <v>23</v>
      </c>
      <c r="B1" s="9"/>
      <c r="C1" s="9"/>
      <c r="D1" s="13" t="s">
        <v>80</v>
      </c>
      <c r="E1" s="9" t="s">
        <v>81</v>
      </c>
    </row>
    <row r="2" spans="1:5">
      <c r="A2" s="1" t="s">
        <v>25</v>
      </c>
      <c r="B2" s="2" t="s">
        <v>90</v>
      </c>
      <c r="C2" s="7" t="str">
        <f>"# 間隔時間: "&amp;(B2/1000) &amp;"秒"</f>
        <v># 間隔時間: 1.5秒</v>
      </c>
      <c r="D2" s="11" t="s">
        <v>89</v>
      </c>
      <c r="E2" s="2" t="s">
        <v>82</v>
      </c>
    </row>
    <row r="3" spans="1:5">
      <c r="A3" s="1" t="s">
        <v>26</v>
      </c>
      <c r="B3" s="2" t="s">
        <v>21</v>
      </c>
      <c r="D3" s="11" t="s">
        <v>98</v>
      </c>
    </row>
    <row r="4" spans="1:5">
      <c r="A4" s="1" t="s">
        <v>27</v>
      </c>
      <c r="B4" s="2" t="s">
        <v>22</v>
      </c>
    </row>
    <row r="5" spans="1:5">
      <c r="A5" s="8" t="s">
        <v>24</v>
      </c>
      <c r="B5" s="9"/>
      <c r="C5" s="9"/>
      <c r="D5" s="13"/>
      <c r="E5" s="9"/>
    </row>
    <row r="6" spans="1:5">
      <c r="A6" s="1" t="s">
        <v>28</v>
      </c>
      <c r="B6" s="3" t="s">
        <v>17</v>
      </c>
      <c r="C6" s="4" t="s">
        <v>18</v>
      </c>
      <c r="D6" s="10" t="s">
        <v>44</v>
      </c>
      <c r="E6" s="4" t="s">
        <v>19</v>
      </c>
    </row>
    <row r="7" spans="1:5">
      <c r="A7" t="str">
        <f>"step"&amp;ROW()-6</f>
        <v>step1</v>
      </c>
      <c r="B7" s="2" t="s">
        <v>1</v>
      </c>
      <c r="C7" s="5" t="s">
        <v>2</v>
      </c>
      <c r="E7" s="5" t="s">
        <v>60</v>
      </c>
    </row>
    <row r="8" spans="1:5">
      <c r="A8" t="str">
        <f t="shared" ref="A8:A27" si="0">"step"&amp;ROW()-6</f>
        <v>step2</v>
      </c>
      <c r="B8" s="2" t="s">
        <v>1</v>
      </c>
      <c r="C8" s="5" t="s">
        <v>3</v>
      </c>
      <c r="E8" s="5" t="s">
        <v>59</v>
      </c>
    </row>
    <row r="9" spans="1:5">
      <c r="A9" t="str">
        <f t="shared" si="0"/>
        <v>step3</v>
      </c>
      <c r="B9" s="2" t="s">
        <v>4</v>
      </c>
      <c r="C9" s="5" t="s">
        <v>5</v>
      </c>
      <c r="D9" s="11" t="s">
        <v>85</v>
      </c>
      <c r="E9" s="5"/>
    </row>
    <row r="10" spans="1:5">
      <c r="A10" t="str">
        <f t="shared" si="0"/>
        <v>step4</v>
      </c>
      <c r="B10" s="2" t="s">
        <v>7</v>
      </c>
      <c r="C10" s="5" t="s">
        <v>29</v>
      </c>
      <c r="E10" s="5" t="s">
        <v>78</v>
      </c>
    </row>
    <row r="11" spans="1:5">
      <c r="A11" t="str">
        <f t="shared" si="0"/>
        <v>step5</v>
      </c>
      <c r="B11" s="2" t="s">
        <v>77</v>
      </c>
      <c r="C11" s="5"/>
      <c r="D11" s="11" t="s">
        <v>58</v>
      </c>
      <c r="E11" s="5" t="s">
        <v>79</v>
      </c>
    </row>
    <row r="12" spans="1:5">
      <c r="A12" t="str">
        <f t="shared" si="0"/>
        <v>step6</v>
      </c>
      <c r="B12" s="2" t="s">
        <v>33</v>
      </c>
      <c r="C12" s="5" t="s">
        <v>29</v>
      </c>
      <c r="D12" s="11" t="s">
        <v>45</v>
      </c>
      <c r="E12" s="5" t="s">
        <v>61</v>
      </c>
    </row>
    <row r="13" spans="1:5">
      <c r="A13" t="str">
        <f t="shared" si="0"/>
        <v>step7</v>
      </c>
      <c r="B13" s="2" t="s">
        <v>7</v>
      </c>
      <c r="C13" s="5" t="s">
        <v>8</v>
      </c>
      <c r="E13" s="5"/>
    </row>
    <row r="14" spans="1:5">
      <c r="A14" t="str">
        <f t="shared" si="0"/>
        <v>step8</v>
      </c>
      <c r="B14" s="2" t="s">
        <v>9</v>
      </c>
      <c r="C14" s="5"/>
      <c r="D14" s="11">
        <v>1000</v>
      </c>
      <c r="E14" s="5"/>
    </row>
    <row r="15" spans="1:5">
      <c r="A15" s="20" t="str">
        <f t="shared" si="0"/>
        <v>step9</v>
      </c>
      <c r="B15" s="2" t="s">
        <v>92</v>
      </c>
      <c r="C15" s="2" t="s">
        <v>94</v>
      </c>
      <c r="E15" s="2" t="s">
        <v>95</v>
      </c>
    </row>
    <row r="16" spans="1:5">
      <c r="A16" s="20" t="str">
        <f t="shared" si="0"/>
        <v>step10</v>
      </c>
      <c r="B16" s="2" t="s">
        <v>73</v>
      </c>
      <c r="D16" s="11">
        <v>3000</v>
      </c>
    </row>
    <row r="17" spans="1:5">
      <c r="A17" s="20" t="str">
        <f t="shared" si="0"/>
        <v>step11</v>
      </c>
      <c r="B17" s="14" t="s">
        <v>11</v>
      </c>
      <c r="C17" s="15" t="s">
        <v>12</v>
      </c>
      <c r="D17" s="16" t="s">
        <v>88</v>
      </c>
      <c r="E17" s="18"/>
    </row>
    <row r="18" spans="1:5">
      <c r="A18" s="20" t="str">
        <f t="shared" si="0"/>
        <v>step12</v>
      </c>
      <c r="B18" s="14" t="s">
        <v>11</v>
      </c>
      <c r="C18" s="15" t="s">
        <v>12</v>
      </c>
      <c r="D18" s="16">
        <v>1</v>
      </c>
      <c r="E18" s="2" t="s">
        <v>95</v>
      </c>
    </row>
    <row r="19" spans="1:5">
      <c r="A19" s="20" t="str">
        <f t="shared" si="0"/>
        <v>step13</v>
      </c>
      <c r="B19" s="17" t="s">
        <v>14</v>
      </c>
      <c r="C19" s="18" t="s">
        <v>16</v>
      </c>
      <c r="D19" s="11" t="str">
        <f>$D$3</f>
        <v>1800_Customer Check-2021-03-31-180730</v>
      </c>
      <c r="E19" s="2" t="s">
        <v>87</v>
      </c>
    </row>
    <row r="20" spans="1:5">
      <c r="A20" s="20" t="str">
        <f t="shared" si="0"/>
        <v>step14</v>
      </c>
      <c r="B20" s="17" t="s">
        <v>9</v>
      </c>
      <c r="C20" s="18"/>
      <c r="D20" s="19">
        <v>2000</v>
      </c>
      <c r="E20" s="18"/>
    </row>
    <row r="21" spans="1:5">
      <c r="A21" s="20" t="str">
        <f t="shared" si="0"/>
        <v>step15</v>
      </c>
      <c r="B21" s="14" t="s">
        <v>11</v>
      </c>
      <c r="C21" s="15" t="s">
        <v>30</v>
      </c>
      <c r="D21" s="16"/>
      <c r="E21" s="18" t="s">
        <v>51</v>
      </c>
    </row>
    <row r="22" spans="1:5">
      <c r="A22" s="20" t="str">
        <f t="shared" si="0"/>
        <v>step16</v>
      </c>
      <c r="B22" s="14" t="s">
        <v>11</v>
      </c>
      <c r="C22" s="15" t="s">
        <v>12</v>
      </c>
      <c r="D22" s="16">
        <v>0</v>
      </c>
      <c r="E22" s="14"/>
    </row>
    <row r="23" spans="1:5">
      <c r="A23" s="20" t="str">
        <f t="shared" si="0"/>
        <v>step17</v>
      </c>
      <c r="B23" s="14" t="s">
        <v>11</v>
      </c>
      <c r="C23" s="15" t="s">
        <v>12</v>
      </c>
      <c r="D23" s="16">
        <v>1</v>
      </c>
      <c r="E23" s="14"/>
    </row>
    <row r="24" spans="1:5">
      <c r="A24" t="str">
        <f t="shared" si="0"/>
        <v>step18</v>
      </c>
      <c r="B24" s="17" t="s">
        <v>33</v>
      </c>
      <c r="C24" s="17" t="s">
        <v>99</v>
      </c>
      <c r="D24" s="19" t="str">
        <f xml:space="preserve"> C24&amp;":"&amp;$D$3&amp;":OK"</f>
        <v>name=receive_comment:1800_Customer Check-2021-03-31-180730:OK</v>
      </c>
      <c r="E24" s="17"/>
    </row>
    <row r="25" spans="1:5">
      <c r="A25" s="20" t="str">
        <f t="shared" si="0"/>
        <v>step19</v>
      </c>
      <c r="B25" s="2" t="s">
        <v>50</v>
      </c>
      <c r="C25" s="2" t="s">
        <v>74</v>
      </c>
    </row>
    <row r="26" spans="1:5">
      <c r="A26" s="20" t="str">
        <f t="shared" si="0"/>
        <v>step20</v>
      </c>
      <c r="B26" s="14" t="s">
        <v>11</v>
      </c>
      <c r="C26" s="15" t="s">
        <v>76</v>
      </c>
    </row>
    <row r="27" spans="1:5">
      <c r="A27" s="20" t="str">
        <f t="shared" si="0"/>
        <v>step21</v>
      </c>
      <c r="B27" s="2" t="s">
        <v>77</v>
      </c>
      <c r="C27" s="5"/>
      <c r="D27" s="11" t="s">
        <v>53</v>
      </c>
    </row>
  </sheetData>
  <phoneticPr fontId="1"/>
  <conditionalFormatting sqref="C10:E10">
    <cfRule type="expression" dxfId="899" priority="141">
      <formula>$B10="switchTo"</formula>
    </cfRule>
    <cfRule type="expression" dxfId="898" priority="142">
      <formula>$B10="wait"</formula>
    </cfRule>
  </conditionalFormatting>
  <conditionalFormatting sqref="B10">
    <cfRule type="expression" dxfId="897" priority="139">
      <formula>$B10="switchTo"</formula>
    </cfRule>
    <cfRule type="expression" dxfId="896" priority="140">
      <formula>$B10="wait"</formula>
    </cfRule>
  </conditionalFormatting>
  <conditionalFormatting sqref="B28:E55 E27 B20:E22 B7:E14">
    <cfRule type="expression" dxfId="895" priority="78">
      <formula>$B7="popup"</formula>
    </cfRule>
    <cfRule type="expression" dxfId="894" priority="153">
      <formula>$B7="switchTo"</formula>
    </cfRule>
    <cfRule type="expression" dxfId="893" priority="154">
      <formula>$B7="wait"</formula>
    </cfRule>
  </conditionalFormatting>
  <conditionalFormatting sqref="E26 D25:E25">
    <cfRule type="expression" dxfId="892" priority="67">
      <formula>$B25="popup"</formula>
    </cfRule>
    <cfRule type="expression" dxfId="891" priority="68">
      <formula>$B25="switchTo"</formula>
    </cfRule>
    <cfRule type="expression" dxfId="890" priority="69">
      <formula>$B25="wait"</formula>
    </cfRule>
  </conditionalFormatting>
  <conditionalFormatting sqref="B15:E15 E16">
    <cfRule type="expression" dxfId="889" priority="61">
      <formula>$B15="popup"</formula>
    </cfRule>
    <cfRule type="expression" dxfId="888" priority="62">
      <formula>$B15="switchTo"</formula>
    </cfRule>
    <cfRule type="expression" dxfId="887" priority="63">
      <formula>$B15="wait"</formula>
    </cfRule>
  </conditionalFormatting>
  <conditionalFormatting sqref="B16:C16">
    <cfRule type="expression" dxfId="886" priority="58">
      <formula>$B16="popup"</formula>
    </cfRule>
    <cfRule type="expression" dxfId="885" priority="59">
      <formula>$B16="switchTo"</formula>
    </cfRule>
    <cfRule type="expression" dxfId="884" priority="60">
      <formula>$B16="wait"</formula>
    </cfRule>
  </conditionalFormatting>
  <conditionalFormatting sqref="D16">
    <cfRule type="expression" dxfId="883" priority="55">
      <formula>$B16="popup"</formula>
    </cfRule>
    <cfRule type="expression" dxfId="882" priority="56">
      <formula>$B16="switchTo"</formula>
    </cfRule>
    <cfRule type="expression" dxfId="881" priority="57">
      <formula>$B16="wait"</formula>
    </cfRule>
  </conditionalFormatting>
  <conditionalFormatting sqref="B20:E20">
    <cfRule type="expression" dxfId="880" priority="51">
      <formula>$B20="switchTo"</formula>
    </cfRule>
    <cfRule type="expression" dxfId="879" priority="52">
      <formula>$B20="wait"</formula>
    </cfRule>
  </conditionalFormatting>
  <conditionalFormatting sqref="B22:E22">
    <cfRule type="expression" dxfId="878" priority="49">
      <formula>$B22="switchTo"</formula>
    </cfRule>
    <cfRule type="expression" dxfId="877" priority="50">
      <formula>$B22="wait"</formula>
    </cfRule>
  </conditionalFormatting>
  <conditionalFormatting sqref="B19:C19 E19">
    <cfRule type="expression" dxfId="876" priority="44">
      <formula>$B19="popup"</formula>
    </cfRule>
    <cfRule type="expression" dxfId="875" priority="53">
      <formula>$B19="switchTo"</formula>
    </cfRule>
    <cfRule type="expression" dxfId="874" priority="54">
      <formula>$B19="wait"</formula>
    </cfRule>
  </conditionalFormatting>
  <conditionalFormatting sqref="D19">
    <cfRule type="expression" dxfId="873" priority="41">
      <formula>$B19="popup"</formula>
    </cfRule>
    <cfRule type="expression" dxfId="872" priority="42">
      <formula>$B19="switchTo"</formula>
    </cfRule>
    <cfRule type="expression" dxfId="871" priority="43">
      <formula>$B19="wait"</formula>
    </cfRule>
  </conditionalFormatting>
  <conditionalFormatting sqref="B25:C25">
    <cfRule type="expression" dxfId="870" priority="38">
      <formula>$B25="popup"</formula>
    </cfRule>
    <cfRule type="expression" dxfId="869" priority="39">
      <formula>$B25="switchTo"</formula>
    </cfRule>
    <cfRule type="expression" dxfId="868" priority="40">
      <formula>$B25="wait"</formula>
    </cfRule>
  </conditionalFormatting>
  <conditionalFormatting sqref="B26:D27">
    <cfRule type="expression" dxfId="867" priority="35">
      <formula>$B26="popup"</formula>
    </cfRule>
    <cfRule type="expression" dxfId="866" priority="36">
      <formula>$B26="switchTo"</formula>
    </cfRule>
    <cfRule type="expression" dxfId="865" priority="37">
      <formula>$B26="wait"</formula>
    </cfRule>
  </conditionalFormatting>
  <conditionalFormatting sqref="C17">
    <cfRule type="expression" dxfId="864" priority="22">
      <formula>$B17="switchTo"</formula>
    </cfRule>
    <cfRule type="expression" dxfId="863" priority="23">
      <formula>$B17="wait"</formula>
    </cfRule>
  </conditionalFormatting>
  <conditionalFormatting sqref="B17 E17">
    <cfRule type="expression" dxfId="862" priority="26">
      <formula>$B17="popup"</formula>
    </cfRule>
    <cfRule type="expression" dxfId="861" priority="33">
      <formula>$B17="switchTo"</formula>
    </cfRule>
    <cfRule type="expression" dxfId="860" priority="34">
      <formula>$B17="wait"</formula>
    </cfRule>
  </conditionalFormatting>
  <conditionalFormatting sqref="C17">
    <cfRule type="expression" dxfId="859" priority="21">
      <formula>$B17="popup"</formula>
    </cfRule>
    <cfRule type="expression" dxfId="858" priority="24">
      <formula>$B17="switchTo"</formula>
    </cfRule>
    <cfRule type="expression" dxfId="857" priority="25">
      <formula>$B17="wait"</formula>
    </cfRule>
  </conditionalFormatting>
  <conditionalFormatting sqref="D17">
    <cfRule type="expression" dxfId="856" priority="17">
      <formula>$B17="switchTo"</formula>
    </cfRule>
    <cfRule type="expression" dxfId="855" priority="18">
      <formula>$B17="wait"</formula>
    </cfRule>
  </conditionalFormatting>
  <conditionalFormatting sqref="D17">
    <cfRule type="expression" dxfId="854" priority="16">
      <formula>$B17="popup"</formula>
    </cfRule>
    <cfRule type="expression" dxfId="853" priority="19">
      <formula>$B17="switchTo"</formula>
    </cfRule>
    <cfRule type="expression" dxfId="852" priority="20">
      <formula>$B17="wait"</formula>
    </cfRule>
  </conditionalFormatting>
  <conditionalFormatting sqref="B18:E18">
    <cfRule type="expression" dxfId="851" priority="13">
      <formula>$B18="popup"</formula>
    </cfRule>
    <cfRule type="expression" dxfId="850" priority="14">
      <formula>$B18="switchTo"</formula>
    </cfRule>
    <cfRule type="expression" dxfId="849" priority="15">
      <formula>$B18="wait"</formula>
    </cfRule>
  </conditionalFormatting>
  <conditionalFormatting sqref="B18:D18">
    <cfRule type="expression" dxfId="848" priority="11">
      <formula>$B18="switchTo"</formula>
    </cfRule>
    <cfRule type="expression" dxfId="847" priority="12">
      <formula>$B18="wait"</formula>
    </cfRule>
  </conditionalFormatting>
  <conditionalFormatting sqref="E18">
    <cfRule type="expression" dxfId="846" priority="9">
      <formula>$B18="switchTo"</formula>
    </cfRule>
    <cfRule type="expression" dxfId="845" priority="10">
      <formula>$B18="wait"</formula>
    </cfRule>
  </conditionalFormatting>
  <conditionalFormatting sqref="B23:E23">
    <cfRule type="expression" dxfId="844" priority="6">
      <formula>$B23="popup"</formula>
    </cfRule>
    <cfRule type="expression" dxfId="843" priority="7">
      <formula>$B23="switchTo"</formula>
    </cfRule>
    <cfRule type="expression" dxfId="842" priority="8">
      <formula>$B23="wait"</formula>
    </cfRule>
  </conditionalFormatting>
  <conditionalFormatting sqref="B23:E23">
    <cfRule type="expression" dxfId="841" priority="4">
      <formula>$B23="switchTo"</formula>
    </cfRule>
    <cfRule type="expression" dxfId="840" priority="5">
      <formula>$B23="wait"</formula>
    </cfRule>
  </conditionalFormatting>
  <conditionalFormatting sqref="B24:E24">
    <cfRule type="expression" dxfId="839" priority="1">
      <formula>$B24="popup"</formula>
    </cfRule>
    <cfRule type="expression" dxfId="838" priority="2">
      <formula>$B24="switchTo"</formula>
    </cfRule>
    <cfRule type="expression" dxfId="837" priority="3">
      <formula>$B24="wait"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0" r:id="rId4" name="btnExportYML">
          <controlPr defaultSize="0" autoLine="0" autoPict="0" r:id="rId5">
            <anchor moveWithCells="1">
              <from>
                <xdr:col>2</xdr:col>
                <xdr:colOff>2457450</xdr:colOff>
                <xdr:row>1</xdr:row>
                <xdr:rowOff>57150</xdr:rowOff>
              </from>
              <to>
                <xdr:col>2</xdr:col>
                <xdr:colOff>3581400</xdr:colOff>
                <xdr:row>2</xdr:row>
                <xdr:rowOff>190500</xdr:rowOff>
              </to>
            </anchor>
          </controlPr>
        </control>
      </mc:Choice>
      <mc:Fallback>
        <control shapeId="2050" r:id="rId4" name="btnExportYML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M172"/>
  <sheetViews>
    <sheetView tabSelected="1" zoomScale="85" zoomScaleNormal="85" workbookViewId="0">
      <selection activeCell="D13" sqref="D13"/>
    </sheetView>
  </sheetViews>
  <sheetFormatPr defaultRowHeight="18.75"/>
  <cols>
    <col min="1" max="1" width="13.875" customWidth="1"/>
    <col min="2" max="2" width="9.375" style="2" customWidth="1"/>
    <col min="3" max="3" width="38.875" style="2" customWidth="1"/>
    <col min="4" max="4" width="28.875" style="11" customWidth="1"/>
    <col min="5" max="5" width="8.5" style="2" customWidth="1"/>
    <col min="6" max="6" width="24.5" customWidth="1"/>
    <col min="10" max="10" width="9.25" bestFit="1" customWidth="1"/>
    <col min="11" max="11" width="22.375" bestFit="1" customWidth="1"/>
    <col min="12" max="12" width="14.5" customWidth="1"/>
  </cols>
  <sheetData>
    <row r="1" spans="1:13" ht="36">
      <c r="A1" s="8" t="s">
        <v>23</v>
      </c>
      <c r="B1" s="9"/>
      <c r="C1" s="9"/>
      <c r="D1" s="13" t="s">
        <v>80</v>
      </c>
      <c r="E1" s="9" t="s">
        <v>81</v>
      </c>
      <c r="H1" s="21" t="s">
        <v>103</v>
      </c>
      <c r="I1" s="21" t="s">
        <v>104</v>
      </c>
      <c r="J1" s="21" t="s">
        <v>188</v>
      </c>
    </row>
    <row r="2" spans="1:13" ht="19.5">
      <c r="A2" s="1" t="s">
        <v>25</v>
      </c>
      <c r="B2" s="2" t="s">
        <v>248</v>
      </c>
      <c r="C2" s="7" t="str">
        <f>"# 間隔時間: "&amp;(B2/1000) &amp;"秒"</f>
        <v># 間隔時間: 0.5秒</v>
      </c>
      <c r="D2" s="35" t="s">
        <v>270</v>
      </c>
      <c r="E2" s="2" t="s">
        <v>82</v>
      </c>
      <c r="H2" s="22" t="s">
        <v>189</v>
      </c>
      <c r="I2" s="23">
        <v>59</v>
      </c>
      <c r="J2" s="23">
        <v>59</v>
      </c>
      <c r="K2" s="24" t="s">
        <v>86</v>
      </c>
      <c r="L2" t="str">
        <f>"id="&amp;H2</f>
        <v>id=5hxa7zflfnwwxe9</v>
      </c>
      <c r="M2" t="str">
        <f ca="1">LEFT($D$3&amp;"-TEST00000000000000000000000",J2)</f>
        <v>1800_Pur Req-Sales &amp; Mktg Mgmt--2021-04-06-173343-TEST00000</v>
      </c>
    </row>
    <row r="3" spans="1:13">
      <c r="A3" s="1" t="s">
        <v>271</v>
      </c>
      <c r="B3" s="2" t="s">
        <v>167</v>
      </c>
      <c r="D3" s="11" t="str">
        <f ca="1" xml:space="preserve"> LEFT(_xll.ReplaceMatch($D$2&amp;TEXT(NOW(),"-YYYY-MM-DD-HHMMSS"),"[\(\)]","-"),50)</f>
        <v>1800_Pur Req-Sales &amp; Mktg Mgmt--2021-04-06-173343</v>
      </c>
      <c r="H3" s="22" t="s">
        <v>191</v>
      </c>
      <c r="I3" s="23">
        <v>59</v>
      </c>
      <c r="J3" s="23">
        <v>59</v>
      </c>
      <c r="K3" s="24" t="s">
        <v>86</v>
      </c>
      <c r="L3" t="str">
        <f t="shared" ref="L3:L17" si="0">"id="&amp;H3</f>
        <v>id=5hxa7zflkfcxte9</v>
      </c>
      <c r="M3" t="str">
        <f t="shared" ref="M3:M16" ca="1" si="1">LEFT($D$3&amp;"-TEST00000000000000000000000",J3)</f>
        <v>1800_Pur Req-Sales &amp; Mktg Mgmt--2021-04-06-173343-TEST00000</v>
      </c>
    </row>
    <row r="4" spans="1:13">
      <c r="A4" s="1" t="s">
        <v>132</v>
      </c>
      <c r="B4" s="2" t="s">
        <v>169</v>
      </c>
      <c r="H4" s="22" t="s">
        <v>192</v>
      </c>
      <c r="I4" s="23">
        <v>59</v>
      </c>
      <c r="J4" s="23">
        <v>59</v>
      </c>
      <c r="K4" s="24" t="s">
        <v>86</v>
      </c>
      <c r="L4" t="str">
        <f t="shared" si="0"/>
        <v>id=5hxa7zfmka4yae9</v>
      </c>
      <c r="M4" t="str">
        <f t="shared" ca="1" si="1"/>
        <v>1800_Pur Req-Sales &amp; Mktg Mgmt--2021-04-06-173343-TEST00000</v>
      </c>
    </row>
    <row r="5" spans="1:13" hidden="1">
      <c r="H5" s="22" t="s">
        <v>193</v>
      </c>
      <c r="I5" s="23">
        <v>59</v>
      </c>
      <c r="J5" s="23">
        <v>59</v>
      </c>
      <c r="K5" s="24" t="s">
        <v>86</v>
      </c>
      <c r="L5" t="str">
        <f t="shared" si="0"/>
        <v>id=5hxa7zfmo2uyre9</v>
      </c>
      <c r="M5" t="str">
        <f t="shared" ca="1" si="1"/>
        <v>1800_Pur Req-Sales &amp; Mktg Mgmt--2021-04-06-173343-TEST00000</v>
      </c>
    </row>
    <row r="6" spans="1:13" hidden="1">
      <c r="A6" s="1"/>
      <c r="H6" s="22" t="s">
        <v>194</v>
      </c>
      <c r="I6" s="23">
        <v>59</v>
      </c>
      <c r="J6" s="23">
        <v>59</v>
      </c>
      <c r="K6" s="24" t="s">
        <v>86</v>
      </c>
      <c r="L6" t="str">
        <f t="shared" si="0"/>
        <v>id=5hxa7zfyg0kege9</v>
      </c>
      <c r="M6" t="str">
        <f t="shared" ca="1" si="1"/>
        <v>1800_Pur Req-Sales &amp; Mktg Mgmt--2021-04-06-173343-TEST00000</v>
      </c>
    </row>
    <row r="7" spans="1:13" hidden="1">
      <c r="A7" s="1"/>
      <c r="H7" s="22" t="s">
        <v>195</v>
      </c>
      <c r="I7" s="23">
        <v>59</v>
      </c>
      <c r="J7" s="23">
        <v>59</v>
      </c>
      <c r="K7" s="24" t="s">
        <v>86</v>
      </c>
      <c r="L7" t="str">
        <f t="shared" si="0"/>
        <v>id=5hxa7zfzhhjexe9</v>
      </c>
      <c r="M7" t="str">
        <f t="shared" ca="1" si="1"/>
        <v>1800_Pur Req-Sales &amp; Mktg Mgmt--2021-04-06-173343-TEST00000</v>
      </c>
    </row>
    <row r="8" spans="1:13" hidden="1">
      <c r="A8" s="1"/>
      <c r="H8" s="22" t="s">
        <v>196</v>
      </c>
      <c r="I8" s="23">
        <v>59</v>
      </c>
      <c r="J8" s="23">
        <v>59</v>
      </c>
      <c r="K8" s="24" t="s">
        <v>86</v>
      </c>
      <c r="L8" t="str">
        <f t="shared" si="0"/>
        <v>id=5hxa7zfzn0rfwe9</v>
      </c>
      <c r="M8" t="str">
        <f t="shared" ca="1" si="1"/>
        <v>1800_Pur Req-Sales &amp; Mktg Mgmt--2021-04-06-173343-TEST00000</v>
      </c>
    </row>
    <row r="9" spans="1:13">
      <c r="A9" s="8" t="s">
        <v>24</v>
      </c>
      <c r="B9" s="9"/>
      <c r="C9" s="9"/>
      <c r="D9" s="13"/>
      <c r="E9" s="9"/>
      <c r="F9" s="9"/>
      <c r="H9" s="22" t="s">
        <v>197</v>
      </c>
      <c r="I9" s="23">
        <v>59</v>
      </c>
      <c r="J9" s="23">
        <v>59</v>
      </c>
      <c r="K9" s="24" t="s">
        <v>86</v>
      </c>
      <c r="L9" t="str">
        <f t="shared" si="0"/>
        <v>id=5hxa7zfzrwjhae9</v>
      </c>
      <c r="M9" t="str">
        <f t="shared" ca="1" si="1"/>
        <v>1800_Pur Req-Sales &amp; Mktg Mgmt--2021-04-06-173343-TEST00000</v>
      </c>
    </row>
    <row r="10" spans="1:13">
      <c r="A10" s="1" t="s">
        <v>28</v>
      </c>
      <c r="B10" s="3" t="s">
        <v>17</v>
      </c>
      <c r="C10" s="4" t="s">
        <v>18</v>
      </c>
      <c r="D10" s="10" t="s">
        <v>44</v>
      </c>
      <c r="E10" s="4" t="s">
        <v>183</v>
      </c>
      <c r="F10" s="4" t="s">
        <v>19</v>
      </c>
      <c r="H10" s="22" t="s">
        <v>200</v>
      </c>
      <c r="I10" s="23">
        <v>15</v>
      </c>
      <c r="J10" s="23">
        <v>15</v>
      </c>
      <c r="K10" s="24" t="s">
        <v>86</v>
      </c>
      <c r="L10" t="str">
        <f t="shared" si="0"/>
        <v>id=5hxa7z3e2mrybe9</v>
      </c>
      <c r="M10" t="str">
        <f t="shared" ca="1" si="1"/>
        <v>1800_Pur Req-Sa</v>
      </c>
    </row>
    <row r="11" spans="1:13">
      <c r="A11" t="str">
        <f>"step"&amp;ROW()-10</f>
        <v>step1</v>
      </c>
      <c r="B11" s="2" t="s">
        <v>135</v>
      </c>
      <c r="C11" s="5" t="s">
        <v>138</v>
      </c>
      <c r="D11" s="11">
        <v>1</v>
      </c>
      <c r="E11" s="5"/>
      <c r="F11" s="5"/>
      <c r="H11" s="22" t="s">
        <v>201</v>
      </c>
      <c r="I11" s="23">
        <v>60</v>
      </c>
      <c r="J11" s="23">
        <v>60</v>
      </c>
      <c r="K11" s="24" t="s">
        <v>86</v>
      </c>
      <c r="L11" t="str">
        <f t="shared" si="0"/>
        <v>id=5hxa7z34emiure9</v>
      </c>
      <c r="M11" t="str">
        <f t="shared" ca="1" si="1"/>
        <v>1800_Pur Req-Sales &amp; Mktg Mgmt--2021-04-06-173343-TEST000000</v>
      </c>
    </row>
    <row r="12" spans="1:13">
      <c r="A12" t="str">
        <f t="shared" ref="A12:A112" si="2">"step"&amp;ROW()-10</f>
        <v>step2</v>
      </c>
      <c r="B12" s="2" t="s">
        <v>1</v>
      </c>
      <c r="C12" s="5" t="s">
        <v>2</v>
      </c>
      <c r="E12" s="5"/>
      <c r="F12" s="5" t="s">
        <v>60</v>
      </c>
      <c r="H12" s="22" t="s">
        <v>202</v>
      </c>
      <c r="I12" s="23">
        <v>60</v>
      </c>
      <c r="J12" s="23">
        <v>60</v>
      </c>
      <c r="K12" s="24" t="s">
        <v>86</v>
      </c>
      <c r="L12" t="str">
        <f t="shared" si="0"/>
        <v>id=5hxa7z36jq45pe9</v>
      </c>
      <c r="M12" t="str">
        <f t="shared" ca="1" si="1"/>
        <v>1800_Pur Req-Sales &amp; Mktg Mgmt--2021-04-06-173343-TEST000000</v>
      </c>
    </row>
    <row r="13" spans="1:13">
      <c r="A13" t="str">
        <f t="shared" si="2"/>
        <v>step3</v>
      </c>
      <c r="B13" s="2" t="s">
        <v>1</v>
      </c>
      <c r="C13" s="5" t="s">
        <v>3</v>
      </c>
      <c r="E13" s="5"/>
      <c r="F13" s="5" t="s">
        <v>59</v>
      </c>
      <c r="H13" s="22" t="s">
        <v>203</v>
      </c>
      <c r="I13" s="23">
        <v>60</v>
      </c>
      <c r="J13" s="23">
        <v>60</v>
      </c>
      <c r="K13" s="24" t="s">
        <v>86</v>
      </c>
      <c r="L13" t="str">
        <f t="shared" si="0"/>
        <v>id=5hxa7z36s3r8be9</v>
      </c>
      <c r="M13" t="str">
        <f t="shared" ca="1" si="1"/>
        <v>1800_Pur Req-Sales &amp; Mktg Mgmt--2021-04-06-173343-TEST000000</v>
      </c>
    </row>
    <row r="14" spans="1:13">
      <c r="A14" t="str">
        <f t="shared" si="2"/>
        <v>step4</v>
      </c>
      <c r="B14" s="2" t="s">
        <v>144</v>
      </c>
      <c r="C14" s="5"/>
      <c r="D14" s="11">
        <v>1000</v>
      </c>
      <c r="E14" s="5"/>
      <c r="F14" s="5"/>
      <c r="H14" s="22" t="s">
        <v>204</v>
      </c>
      <c r="I14" s="23">
        <v>60</v>
      </c>
      <c r="J14" s="23">
        <v>60</v>
      </c>
      <c r="K14" s="24" t="s">
        <v>86</v>
      </c>
      <c r="L14" t="str">
        <f t="shared" si="0"/>
        <v>id=5hxa7z3b83scwe9</v>
      </c>
      <c r="M14" t="str">
        <f t="shared" ca="1" si="1"/>
        <v>1800_Pur Req-Sales &amp; Mktg Mgmt--2021-04-06-173343-TEST000000</v>
      </c>
    </row>
    <row r="15" spans="1:13">
      <c r="A15" t="str">
        <f t="shared" si="2"/>
        <v>step5</v>
      </c>
      <c r="B15" s="2" t="s">
        <v>4</v>
      </c>
      <c r="C15" s="5" t="s">
        <v>5</v>
      </c>
      <c r="D15" s="11" t="s">
        <v>85</v>
      </c>
      <c r="E15" s="5"/>
      <c r="F15" s="5"/>
      <c r="H15" s="22" t="s">
        <v>205</v>
      </c>
      <c r="I15" s="23">
        <v>59</v>
      </c>
      <c r="J15" s="23">
        <v>59</v>
      </c>
      <c r="K15" s="24" t="s">
        <v>86</v>
      </c>
      <c r="L15" t="str">
        <f t="shared" si="0"/>
        <v>id=5hxa7z3o8014je9</v>
      </c>
      <c r="M15" t="str">
        <f t="shared" ca="1" si="1"/>
        <v>1800_Pur Req-Sales &amp; Mktg Mgmt--2021-04-06-173343-TEST00000</v>
      </c>
    </row>
    <row r="16" spans="1:13">
      <c r="A16" t="str">
        <f t="shared" si="2"/>
        <v>step6</v>
      </c>
      <c r="B16" s="2" t="s">
        <v>102</v>
      </c>
      <c r="C16" s="5" t="s">
        <v>29</v>
      </c>
      <c r="D16" s="11" t="s">
        <v>45</v>
      </c>
      <c r="E16" s="5"/>
      <c r="F16" s="5" t="s">
        <v>61</v>
      </c>
      <c r="H16" s="22" t="s">
        <v>198</v>
      </c>
      <c r="I16" s="23">
        <v>59</v>
      </c>
      <c r="J16" s="23">
        <v>59</v>
      </c>
      <c r="K16" s="24" t="s">
        <v>86</v>
      </c>
      <c r="L16" t="str">
        <f t="shared" si="0"/>
        <v>id=5hxa7zfzvoenwe9</v>
      </c>
      <c r="M16" t="str">
        <f t="shared" ca="1" si="1"/>
        <v>1800_Pur Req-Sales &amp; Mktg Mgmt--2021-04-06-173343-TEST00000</v>
      </c>
    </row>
    <row r="17" spans="1:13">
      <c r="A17" t="str">
        <f t="shared" si="2"/>
        <v>step7</v>
      </c>
      <c r="B17" s="2" t="s">
        <v>144</v>
      </c>
      <c r="C17" s="5"/>
      <c r="D17" s="11">
        <v>1000</v>
      </c>
      <c r="E17" s="5"/>
      <c r="F17" s="5"/>
      <c r="H17" s="22" t="s">
        <v>199</v>
      </c>
      <c r="I17" s="30" t="s">
        <v>190</v>
      </c>
      <c r="J17" s="23">
        <v>10</v>
      </c>
      <c r="K17" s="24" t="s">
        <v>86</v>
      </c>
      <c r="L17" t="str">
        <f t="shared" si="0"/>
        <v>id=price10</v>
      </c>
      <c r="M17">
        <v>100</v>
      </c>
    </row>
    <row r="18" spans="1:13">
      <c r="A18" t="str">
        <f t="shared" si="2"/>
        <v>step8</v>
      </c>
      <c r="B18" s="2" t="s">
        <v>7</v>
      </c>
      <c r="C18" s="5" t="s">
        <v>8</v>
      </c>
      <c r="E18" s="5"/>
      <c r="F18" s="5"/>
    </row>
    <row r="19" spans="1:13">
      <c r="A19" t="str">
        <f t="shared" si="2"/>
        <v>step9</v>
      </c>
      <c r="B19" s="17" t="s">
        <v>147</v>
      </c>
      <c r="C19" s="18" t="s">
        <v>150</v>
      </c>
      <c r="D19" s="19"/>
      <c r="E19" s="17"/>
      <c r="F19" s="17"/>
    </row>
    <row r="20" spans="1:13">
      <c r="A20" t="str">
        <f t="shared" si="2"/>
        <v>step10</v>
      </c>
      <c r="B20" s="2" t="s">
        <v>0</v>
      </c>
      <c r="C20" s="6" t="s">
        <v>10</v>
      </c>
      <c r="D20" s="12"/>
      <c r="E20" s="5"/>
      <c r="F20" s="5" t="s">
        <v>20</v>
      </c>
    </row>
    <row r="21" spans="1:13">
      <c r="A21" t="str">
        <f t="shared" si="2"/>
        <v>step11</v>
      </c>
      <c r="B21" s="2" t="s">
        <v>11</v>
      </c>
      <c r="C21" s="5" t="s">
        <v>12</v>
      </c>
      <c r="D21" s="11" t="s">
        <v>46</v>
      </c>
      <c r="E21" s="5"/>
      <c r="F21" s="5"/>
    </row>
    <row r="22" spans="1:13">
      <c r="A22" t="str">
        <f t="shared" si="2"/>
        <v>step12</v>
      </c>
      <c r="B22" s="2" t="s">
        <v>11</v>
      </c>
      <c r="C22" s="5" t="s">
        <v>12</v>
      </c>
      <c r="D22" s="16" t="s">
        <v>49</v>
      </c>
      <c r="E22" s="5"/>
      <c r="F22" s="5"/>
    </row>
    <row r="23" spans="1:13">
      <c r="A23" t="str">
        <f t="shared" si="2"/>
        <v>step13</v>
      </c>
      <c r="B23" s="2" t="s">
        <v>6</v>
      </c>
      <c r="C23" s="5" t="s">
        <v>13</v>
      </c>
      <c r="E23" s="5"/>
      <c r="F23" s="5" t="s">
        <v>64</v>
      </c>
    </row>
    <row r="24" spans="1:13">
      <c r="A24" t="str">
        <f t="shared" si="2"/>
        <v>step14</v>
      </c>
      <c r="B24" s="2" t="s">
        <v>14</v>
      </c>
      <c r="C24" s="5" t="s">
        <v>62</v>
      </c>
      <c r="D24" s="5" t="s">
        <v>63</v>
      </c>
      <c r="E24" s="5"/>
      <c r="F24" s="5" t="s">
        <v>65</v>
      </c>
    </row>
    <row r="25" spans="1:13">
      <c r="A25" t="str">
        <f t="shared" si="2"/>
        <v>step15</v>
      </c>
      <c r="B25" s="2" t="s">
        <v>14</v>
      </c>
      <c r="C25" s="5" t="s">
        <v>15</v>
      </c>
      <c r="E25" s="5"/>
      <c r="F25" s="5" t="s">
        <v>66</v>
      </c>
    </row>
    <row r="26" spans="1:13">
      <c r="A26" t="str">
        <f t="shared" si="2"/>
        <v>step16</v>
      </c>
      <c r="B26" s="17" t="s">
        <v>147</v>
      </c>
      <c r="C26" s="18" t="s">
        <v>249</v>
      </c>
      <c r="D26" s="19"/>
      <c r="F26" s="2"/>
    </row>
    <row r="27" spans="1:13">
      <c r="A27" t="str">
        <f t="shared" si="2"/>
        <v>step17</v>
      </c>
      <c r="B27" s="17" t="s">
        <v>175</v>
      </c>
      <c r="C27" s="18" t="s">
        <v>181</v>
      </c>
      <c r="D27" s="19"/>
      <c r="E27" s="2" t="s">
        <v>184</v>
      </c>
      <c r="F27" s="2"/>
    </row>
    <row r="28" spans="1:13">
      <c r="A28" t="str">
        <f t="shared" si="2"/>
        <v>step18</v>
      </c>
      <c r="B28" s="17" t="s">
        <v>175</v>
      </c>
      <c r="C28" s="18" t="s">
        <v>181</v>
      </c>
      <c r="D28" s="19"/>
      <c r="E28" s="2" t="s">
        <v>184</v>
      </c>
      <c r="F28" s="2"/>
    </row>
    <row r="29" spans="1:13">
      <c r="A29" t="str">
        <f t="shared" si="2"/>
        <v>step19</v>
      </c>
      <c r="B29" s="17" t="s">
        <v>175</v>
      </c>
      <c r="C29" s="18" t="s">
        <v>181</v>
      </c>
      <c r="D29" s="19"/>
      <c r="E29" s="2" t="s">
        <v>184</v>
      </c>
      <c r="F29" s="2"/>
    </row>
    <row r="30" spans="1:13">
      <c r="A30" t="str">
        <f t="shared" si="2"/>
        <v>step20</v>
      </c>
      <c r="B30" s="17" t="s">
        <v>147</v>
      </c>
      <c r="C30" s="18" t="s">
        <v>178</v>
      </c>
      <c r="D30" s="19"/>
      <c r="F30" s="2"/>
    </row>
    <row r="31" spans="1:13">
      <c r="A31" t="str">
        <f t="shared" si="2"/>
        <v>step21</v>
      </c>
      <c r="B31" s="17" t="s">
        <v>176</v>
      </c>
      <c r="C31" s="18" t="s">
        <v>180</v>
      </c>
      <c r="D31" s="19" t="str">
        <f>$D$2</f>
        <v>1800_Pur Req(Sales &amp; Mktg Mgmt)</v>
      </c>
      <c r="F31" s="2"/>
    </row>
    <row r="32" spans="1:13">
      <c r="A32" t="str">
        <f t="shared" si="2"/>
        <v>step22</v>
      </c>
      <c r="B32" s="17" t="s">
        <v>175</v>
      </c>
      <c r="C32" s="18" t="s">
        <v>181</v>
      </c>
      <c r="D32" s="19"/>
      <c r="E32" s="2" t="s">
        <v>184</v>
      </c>
      <c r="F32" s="2"/>
    </row>
    <row r="33" spans="1:6">
      <c r="A33" t="str">
        <f t="shared" si="2"/>
        <v>step23</v>
      </c>
      <c r="B33" s="17" t="s">
        <v>179</v>
      </c>
      <c r="C33" s="18" t="s">
        <v>178</v>
      </c>
      <c r="D33" s="19"/>
      <c r="F33" s="2"/>
    </row>
    <row r="34" spans="1:6">
      <c r="A34" t="str">
        <f t="shared" si="2"/>
        <v>step24</v>
      </c>
      <c r="B34" s="17" t="s">
        <v>147</v>
      </c>
      <c r="C34" s="18" t="s">
        <v>177</v>
      </c>
      <c r="D34" s="19"/>
      <c r="F34" s="2"/>
    </row>
    <row r="35" spans="1:6">
      <c r="A35" t="str">
        <f t="shared" si="2"/>
        <v>step25</v>
      </c>
      <c r="B35" s="17" t="s">
        <v>14</v>
      </c>
      <c r="C35" s="18" t="s">
        <v>100</v>
      </c>
      <c r="D35" s="19" t="str">
        <f>$D$2</f>
        <v>1800_Pur Req(Sales &amp; Mktg Mgmt)</v>
      </c>
      <c r="E35" s="2" t="s">
        <v>252</v>
      </c>
      <c r="F35" s="2" t="s">
        <v>87</v>
      </c>
    </row>
    <row r="36" spans="1:6">
      <c r="A36" t="str">
        <f t="shared" si="2"/>
        <v>step26</v>
      </c>
      <c r="B36" s="2" t="s">
        <v>144</v>
      </c>
      <c r="C36" s="5"/>
      <c r="D36" s="11">
        <v>1000</v>
      </c>
      <c r="E36" s="5"/>
      <c r="F36" s="5"/>
    </row>
    <row r="37" spans="1:6">
      <c r="A37" t="str">
        <f t="shared" si="2"/>
        <v>step27</v>
      </c>
      <c r="B37" s="14" t="s">
        <v>11</v>
      </c>
      <c r="C37" s="15" t="s">
        <v>30</v>
      </c>
      <c r="D37" s="16"/>
      <c r="E37" s="2" t="s">
        <v>246</v>
      </c>
      <c r="F37" s="18" t="s">
        <v>51</v>
      </c>
    </row>
    <row r="38" spans="1:6">
      <c r="A38" t="str">
        <f t="shared" si="2"/>
        <v>step28</v>
      </c>
      <c r="B38" s="14" t="s">
        <v>11</v>
      </c>
      <c r="C38" s="15" t="s">
        <v>12</v>
      </c>
      <c r="D38" s="16" t="s">
        <v>49</v>
      </c>
      <c r="F38" s="2" t="s">
        <v>159</v>
      </c>
    </row>
    <row r="39" spans="1:6">
      <c r="A39" t="str">
        <f t="shared" si="2"/>
        <v>step29</v>
      </c>
      <c r="B39" s="14" t="s">
        <v>11</v>
      </c>
      <c r="C39" s="15" t="s">
        <v>12</v>
      </c>
      <c r="D39" s="16" t="s">
        <v>49</v>
      </c>
      <c r="E39" s="14"/>
      <c r="F39" s="14"/>
    </row>
    <row r="40" spans="1:6">
      <c r="A40" s="20" t="str">
        <f t="shared" si="2"/>
        <v>step30</v>
      </c>
      <c r="B40" s="17" t="s">
        <v>243</v>
      </c>
      <c r="C40" s="18" t="s">
        <v>242</v>
      </c>
      <c r="D40" s="31"/>
    </row>
    <row r="41" spans="1:6">
      <c r="A41" s="20" t="str">
        <f t="shared" si="2"/>
        <v>step31</v>
      </c>
      <c r="B41" s="17" t="s">
        <v>243</v>
      </c>
      <c r="C41" s="18" t="s">
        <v>244</v>
      </c>
      <c r="D41" s="31"/>
      <c r="E41"/>
    </row>
    <row r="42" spans="1:6">
      <c r="A42" s="20" t="str">
        <f t="shared" si="2"/>
        <v>step32</v>
      </c>
      <c r="B42" s="17" t="s">
        <v>101</v>
      </c>
      <c r="C42" s="18" t="s">
        <v>206</v>
      </c>
      <c r="D42" s="19" t="str">
        <f ca="1">LEFT($D$3&amp;"-TEST00000000000000000000000",50)</f>
        <v>1800_Pur Req-Sales &amp; Mktg Mgmt--2021-04-06-173343-</v>
      </c>
      <c r="E42"/>
    </row>
    <row r="43" spans="1:6">
      <c r="A43" s="20" t="str">
        <f t="shared" si="2"/>
        <v>step33</v>
      </c>
      <c r="B43" s="17" t="s">
        <v>101</v>
      </c>
      <c r="C43" s="18" t="s">
        <v>207</v>
      </c>
      <c r="D43" s="19" t="str">
        <f t="shared" ref="D43:D56" ca="1" si="3">LEFT($D$3&amp;"-TEST00000000000000000000000",50)</f>
        <v>1800_Pur Req-Sales &amp; Mktg Mgmt--2021-04-06-173343-</v>
      </c>
      <c r="E43"/>
    </row>
    <row r="44" spans="1:6">
      <c r="A44" s="20" t="str">
        <f t="shared" si="2"/>
        <v>step34</v>
      </c>
      <c r="B44" s="17" t="s">
        <v>101</v>
      </c>
      <c r="C44" s="18" t="s">
        <v>208</v>
      </c>
      <c r="D44" s="19" t="str">
        <f t="shared" ca="1" si="3"/>
        <v>1800_Pur Req-Sales &amp; Mktg Mgmt--2021-04-06-173343-</v>
      </c>
      <c r="E44"/>
    </row>
    <row r="45" spans="1:6">
      <c r="A45" s="20" t="str">
        <f t="shared" si="2"/>
        <v>step35</v>
      </c>
      <c r="B45" s="17" t="s">
        <v>101</v>
      </c>
      <c r="C45" s="18" t="s">
        <v>209</v>
      </c>
      <c r="D45" s="19" t="str">
        <f t="shared" ca="1" si="3"/>
        <v>1800_Pur Req-Sales &amp; Mktg Mgmt--2021-04-06-173343-</v>
      </c>
      <c r="E45"/>
    </row>
    <row r="46" spans="1:6">
      <c r="A46" s="20" t="str">
        <f t="shared" si="2"/>
        <v>step36</v>
      </c>
      <c r="B46" s="17" t="s">
        <v>101</v>
      </c>
      <c r="C46" s="18" t="s">
        <v>210</v>
      </c>
      <c r="D46" s="19" t="str">
        <f t="shared" ca="1" si="3"/>
        <v>1800_Pur Req-Sales &amp; Mktg Mgmt--2021-04-06-173343-</v>
      </c>
      <c r="E46"/>
    </row>
    <row r="47" spans="1:6">
      <c r="A47" s="20" t="str">
        <f t="shared" si="2"/>
        <v>step37</v>
      </c>
      <c r="B47" s="17" t="s">
        <v>101</v>
      </c>
      <c r="C47" s="18" t="s">
        <v>211</v>
      </c>
      <c r="D47" s="19" t="str">
        <f t="shared" ca="1" si="3"/>
        <v>1800_Pur Req-Sales &amp; Mktg Mgmt--2021-04-06-173343-</v>
      </c>
      <c r="E47"/>
    </row>
    <row r="48" spans="1:6">
      <c r="A48" s="20" t="str">
        <f t="shared" si="2"/>
        <v>step38</v>
      </c>
      <c r="B48" s="17" t="s">
        <v>101</v>
      </c>
      <c r="C48" s="18" t="s">
        <v>212</v>
      </c>
      <c r="D48" s="19" t="str">
        <f t="shared" ca="1" si="3"/>
        <v>1800_Pur Req-Sales &amp; Mktg Mgmt--2021-04-06-173343-</v>
      </c>
      <c r="E48"/>
    </row>
    <row r="49" spans="1:5">
      <c r="A49" s="20" t="str">
        <f t="shared" si="2"/>
        <v>step39</v>
      </c>
      <c r="B49" s="17" t="s">
        <v>101</v>
      </c>
      <c r="C49" s="18" t="s">
        <v>213</v>
      </c>
      <c r="D49" s="19" t="str">
        <f t="shared" ca="1" si="3"/>
        <v>1800_Pur Req-Sales &amp; Mktg Mgmt--2021-04-06-173343-</v>
      </c>
      <c r="E49"/>
    </row>
    <row r="50" spans="1:5">
      <c r="A50" s="20" t="str">
        <f t="shared" si="2"/>
        <v>step40</v>
      </c>
      <c r="B50" s="17" t="s">
        <v>101</v>
      </c>
      <c r="C50" s="18" t="s">
        <v>214</v>
      </c>
      <c r="D50" s="19" t="s">
        <v>241</v>
      </c>
      <c r="E50"/>
    </row>
    <row r="51" spans="1:5">
      <c r="A51" s="20" t="str">
        <f t="shared" si="2"/>
        <v>step41</v>
      </c>
      <c r="B51" s="17" t="s">
        <v>101</v>
      </c>
      <c r="C51" s="18" t="s">
        <v>215</v>
      </c>
      <c r="D51" s="19" t="str">
        <f t="shared" ca="1" si="3"/>
        <v>1800_Pur Req-Sales &amp; Mktg Mgmt--2021-04-06-173343-</v>
      </c>
      <c r="E51"/>
    </row>
    <row r="52" spans="1:5">
      <c r="A52" s="20" t="str">
        <f t="shared" si="2"/>
        <v>step42</v>
      </c>
      <c r="B52" s="17" t="s">
        <v>101</v>
      </c>
      <c r="C52" s="18" t="s">
        <v>216</v>
      </c>
      <c r="D52" s="19" t="str">
        <f t="shared" ca="1" si="3"/>
        <v>1800_Pur Req-Sales &amp; Mktg Mgmt--2021-04-06-173343-</v>
      </c>
      <c r="E52"/>
    </row>
    <row r="53" spans="1:5">
      <c r="A53" s="20" t="str">
        <f t="shared" si="2"/>
        <v>step43</v>
      </c>
      <c r="B53" s="17" t="s">
        <v>101</v>
      </c>
      <c r="C53" s="18" t="s">
        <v>217</v>
      </c>
      <c r="D53" s="19" t="str">
        <f t="shared" ca="1" si="3"/>
        <v>1800_Pur Req-Sales &amp; Mktg Mgmt--2021-04-06-173343-</v>
      </c>
      <c r="E53"/>
    </row>
    <row r="54" spans="1:5">
      <c r="A54" s="20" t="str">
        <f t="shared" si="2"/>
        <v>step44</v>
      </c>
      <c r="B54" s="17" t="s">
        <v>101</v>
      </c>
      <c r="C54" s="18" t="s">
        <v>218</v>
      </c>
      <c r="D54" s="19" t="str">
        <f t="shared" ca="1" si="3"/>
        <v>1800_Pur Req-Sales &amp; Mktg Mgmt--2021-04-06-173343-</v>
      </c>
      <c r="E54"/>
    </row>
    <row r="55" spans="1:5">
      <c r="A55" s="20" t="str">
        <f t="shared" si="2"/>
        <v>step45</v>
      </c>
      <c r="B55" s="17" t="s">
        <v>101</v>
      </c>
      <c r="C55" s="18" t="s">
        <v>219</v>
      </c>
      <c r="D55" s="19" t="str">
        <f t="shared" ca="1" si="3"/>
        <v>1800_Pur Req-Sales &amp; Mktg Mgmt--2021-04-06-173343-</v>
      </c>
      <c r="E55"/>
    </row>
    <row r="56" spans="1:5">
      <c r="A56" s="20" t="str">
        <f t="shared" si="2"/>
        <v>step46</v>
      </c>
      <c r="B56" s="17" t="s">
        <v>101</v>
      </c>
      <c r="C56" s="18" t="s">
        <v>220</v>
      </c>
      <c r="D56" s="19" t="str">
        <f t="shared" ca="1" si="3"/>
        <v>1800_Pur Req-Sales &amp; Mktg Mgmt--2021-04-06-173343-</v>
      </c>
      <c r="E56">
        <v>1</v>
      </c>
    </row>
    <row r="57" spans="1:5">
      <c r="A57" s="20" t="str">
        <f t="shared" si="2"/>
        <v>step47</v>
      </c>
      <c r="B57" s="17" t="s">
        <v>101</v>
      </c>
      <c r="C57" s="18" t="s">
        <v>221</v>
      </c>
      <c r="D57" s="19">
        <v>100</v>
      </c>
      <c r="E57"/>
    </row>
    <row r="58" spans="1:5">
      <c r="A58" s="20" t="str">
        <f t="shared" si="2"/>
        <v>step48</v>
      </c>
      <c r="B58" s="17" t="s">
        <v>101</v>
      </c>
      <c r="C58" s="18" t="s">
        <v>222</v>
      </c>
      <c r="D58" s="19">
        <v>101</v>
      </c>
      <c r="E58"/>
    </row>
    <row r="59" spans="1:5">
      <c r="A59" s="20" t="str">
        <f t="shared" si="2"/>
        <v>step49</v>
      </c>
      <c r="B59" s="17" t="s">
        <v>101</v>
      </c>
      <c r="C59" s="18" t="s">
        <v>223</v>
      </c>
      <c r="D59" s="19">
        <v>102</v>
      </c>
      <c r="E59"/>
    </row>
    <row r="60" spans="1:5">
      <c r="A60" s="20" t="str">
        <f t="shared" si="2"/>
        <v>step50</v>
      </c>
      <c r="B60" s="17" t="s">
        <v>101</v>
      </c>
      <c r="C60" s="18" t="s">
        <v>224</v>
      </c>
      <c r="D60" s="19">
        <v>103</v>
      </c>
      <c r="E60"/>
    </row>
    <row r="61" spans="1:5">
      <c r="A61" s="20" t="str">
        <f t="shared" si="2"/>
        <v>step51</v>
      </c>
      <c r="B61" s="17" t="s">
        <v>101</v>
      </c>
      <c r="C61" s="18" t="s">
        <v>225</v>
      </c>
      <c r="D61" s="19">
        <v>104</v>
      </c>
      <c r="E61"/>
    </row>
    <row r="62" spans="1:5">
      <c r="A62" s="20" t="str">
        <f t="shared" si="2"/>
        <v>step52</v>
      </c>
      <c r="B62" s="17" t="s">
        <v>101</v>
      </c>
      <c r="C62" s="18" t="s">
        <v>226</v>
      </c>
      <c r="D62" s="19">
        <v>105</v>
      </c>
      <c r="E62"/>
    </row>
    <row r="63" spans="1:5">
      <c r="A63" s="20" t="str">
        <f t="shared" si="2"/>
        <v>step53</v>
      </c>
      <c r="B63" s="17" t="s">
        <v>101</v>
      </c>
      <c r="C63" s="18" t="s">
        <v>227</v>
      </c>
      <c r="D63" s="19">
        <v>106</v>
      </c>
      <c r="E63"/>
    </row>
    <row r="64" spans="1:5">
      <c r="A64" s="20" t="str">
        <f t="shared" si="2"/>
        <v>step54</v>
      </c>
      <c r="B64" s="17" t="s">
        <v>101</v>
      </c>
      <c r="C64" s="18" t="s">
        <v>228</v>
      </c>
      <c r="D64" s="19">
        <v>107</v>
      </c>
      <c r="E64"/>
    </row>
    <row r="65" spans="1:6">
      <c r="A65" s="20" t="str">
        <f t="shared" si="2"/>
        <v>step55</v>
      </c>
      <c r="B65" s="17" t="s">
        <v>101</v>
      </c>
      <c r="C65" s="18" t="s">
        <v>229</v>
      </c>
      <c r="D65" s="19">
        <v>108</v>
      </c>
      <c r="E65"/>
    </row>
    <row r="66" spans="1:6">
      <c r="A66" s="20" t="str">
        <f t="shared" si="2"/>
        <v>step56</v>
      </c>
      <c r="B66" s="17" t="s">
        <v>101</v>
      </c>
      <c r="C66" s="18" t="s">
        <v>230</v>
      </c>
      <c r="D66" s="19">
        <v>109</v>
      </c>
      <c r="E66"/>
    </row>
    <row r="67" spans="1:6">
      <c r="A67" s="20" t="str">
        <f t="shared" si="2"/>
        <v>step57</v>
      </c>
      <c r="B67" s="17" t="s">
        <v>101</v>
      </c>
      <c r="C67" s="18" t="s">
        <v>231</v>
      </c>
      <c r="D67" s="19">
        <v>110</v>
      </c>
      <c r="E67"/>
    </row>
    <row r="68" spans="1:6">
      <c r="A68" s="20" t="str">
        <f t="shared" si="2"/>
        <v>step58</v>
      </c>
      <c r="B68" s="17" t="s">
        <v>101</v>
      </c>
      <c r="C68" s="18" t="s">
        <v>232</v>
      </c>
      <c r="D68" s="19">
        <v>111</v>
      </c>
      <c r="E68"/>
    </row>
    <row r="69" spans="1:6">
      <c r="A69" s="20" t="str">
        <f t="shared" si="2"/>
        <v>step59</v>
      </c>
      <c r="B69" s="17" t="s">
        <v>101</v>
      </c>
      <c r="C69" s="18" t="s">
        <v>233</v>
      </c>
      <c r="D69" s="19">
        <v>112</v>
      </c>
      <c r="E69"/>
    </row>
    <row r="70" spans="1:6">
      <c r="A70" s="20" t="str">
        <f t="shared" si="2"/>
        <v>step60</v>
      </c>
      <c r="B70" s="17" t="s">
        <v>101</v>
      </c>
      <c r="C70" s="18" t="s">
        <v>234</v>
      </c>
      <c r="D70" s="19">
        <v>113</v>
      </c>
      <c r="E70"/>
    </row>
    <row r="71" spans="1:6">
      <c r="A71" s="20" t="str">
        <f t="shared" si="2"/>
        <v>step61</v>
      </c>
      <c r="B71" s="17" t="s">
        <v>101</v>
      </c>
      <c r="C71" s="18" t="s">
        <v>235</v>
      </c>
      <c r="D71" s="19">
        <v>114</v>
      </c>
      <c r="E71"/>
    </row>
    <row r="72" spans="1:6">
      <c r="A72" s="20" t="str">
        <f t="shared" si="2"/>
        <v>step62</v>
      </c>
      <c r="B72" s="17" t="s">
        <v>101</v>
      </c>
      <c r="C72" s="18" t="s">
        <v>236</v>
      </c>
      <c r="D72" s="19">
        <v>115</v>
      </c>
      <c r="E72"/>
    </row>
    <row r="73" spans="1:6">
      <c r="A73" s="20" t="str">
        <f t="shared" si="2"/>
        <v>step63</v>
      </c>
      <c r="B73" s="17" t="s">
        <v>101</v>
      </c>
      <c r="C73" s="18" t="s">
        <v>237</v>
      </c>
      <c r="D73" s="19">
        <v>116</v>
      </c>
      <c r="E73"/>
    </row>
    <row r="74" spans="1:6">
      <c r="A74" s="20" t="str">
        <f t="shared" si="2"/>
        <v>step64</v>
      </c>
      <c r="B74" s="17" t="s">
        <v>101</v>
      </c>
      <c r="C74" s="18" t="s">
        <v>238</v>
      </c>
      <c r="D74" s="19">
        <v>117</v>
      </c>
      <c r="E74"/>
    </row>
    <row r="75" spans="1:6">
      <c r="A75" s="20" t="str">
        <f t="shared" si="2"/>
        <v>step65</v>
      </c>
      <c r="B75" s="17" t="s">
        <v>101</v>
      </c>
      <c r="C75" s="18" t="s">
        <v>239</v>
      </c>
      <c r="D75" s="19">
        <v>118</v>
      </c>
      <c r="E75"/>
    </row>
    <row r="76" spans="1:6">
      <c r="A76" s="20" t="str">
        <f t="shared" si="2"/>
        <v>step66</v>
      </c>
      <c r="B76" s="17" t="s">
        <v>101</v>
      </c>
      <c r="C76" s="18" t="s">
        <v>240</v>
      </c>
      <c r="D76" s="19">
        <v>119</v>
      </c>
      <c r="E76">
        <v>1</v>
      </c>
    </row>
    <row r="77" spans="1:6">
      <c r="A77" t="str">
        <f t="shared" si="2"/>
        <v>step67</v>
      </c>
      <c r="B77" s="2" t="s">
        <v>7</v>
      </c>
      <c r="C77" s="17" t="s">
        <v>72</v>
      </c>
      <c r="D77" s="19"/>
      <c r="E77"/>
      <c r="F77" s="17" t="s">
        <v>71</v>
      </c>
    </row>
    <row r="78" spans="1:6">
      <c r="A78" t="str">
        <f t="shared" si="2"/>
        <v>step68</v>
      </c>
      <c r="B78" s="14" t="s">
        <v>11</v>
      </c>
      <c r="C78" s="15" t="s">
        <v>30</v>
      </c>
      <c r="D78" s="16"/>
      <c r="E78" s="18"/>
      <c r="F78" s="18" t="s">
        <v>51</v>
      </c>
    </row>
    <row r="79" spans="1:6">
      <c r="A79" t="str">
        <f t="shared" si="2"/>
        <v>step69</v>
      </c>
      <c r="B79" s="14" t="s">
        <v>11</v>
      </c>
      <c r="C79" s="15" t="s">
        <v>12</v>
      </c>
      <c r="D79" s="16">
        <v>0</v>
      </c>
      <c r="E79" s="14"/>
      <c r="F79" s="14"/>
    </row>
    <row r="80" spans="1:6">
      <c r="A80" t="str">
        <f t="shared" si="2"/>
        <v>step70</v>
      </c>
      <c r="B80" s="14" t="s">
        <v>11</v>
      </c>
      <c r="C80" s="15" t="s">
        <v>12</v>
      </c>
      <c r="D80" s="16">
        <v>1</v>
      </c>
      <c r="F80" s="2" t="s">
        <v>70</v>
      </c>
    </row>
    <row r="81" spans="1:6">
      <c r="A81" t="str">
        <f t="shared" si="2"/>
        <v>step71</v>
      </c>
      <c r="B81" s="2" t="s">
        <v>73</v>
      </c>
      <c r="C81" s="5"/>
      <c r="D81" s="11">
        <v>1000</v>
      </c>
      <c r="E81" s="5"/>
      <c r="F81" s="5"/>
    </row>
    <row r="82" spans="1:6">
      <c r="A82" t="str">
        <f t="shared" si="2"/>
        <v>step72</v>
      </c>
      <c r="B82" s="2" t="s">
        <v>33</v>
      </c>
      <c r="C82" s="2" t="s">
        <v>31</v>
      </c>
      <c r="D82" s="11" t="str">
        <f ca="1">$D$3</f>
        <v>1800_Pur Req-Sales &amp; Mktg Mgmt--2021-04-06-173343</v>
      </c>
      <c r="F82" s="2" t="s">
        <v>97</v>
      </c>
    </row>
    <row r="83" spans="1:6">
      <c r="A83" t="str">
        <f t="shared" si="2"/>
        <v>step73</v>
      </c>
      <c r="B83" s="2" t="s">
        <v>33</v>
      </c>
      <c r="C83" s="2" t="s">
        <v>32</v>
      </c>
      <c r="D83" s="11" t="str">
        <f ca="1" xml:space="preserve"> C83&amp;":"&amp;$D$3</f>
        <v>name=draft_comment:1800_Pur Req-Sales &amp; Mktg Mgmt--2021-04-06-173343</v>
      </c>
      <c r="F83" s="2"/>
    </row>
    <row r="84" spans="1:6">
      <c r="A84" t="str">
        <f t="shared" si="2"/>
        <v>step74</v>
      </c>
      <c r="B84" s="2" t="s">
        <v>33</v>
      </c>
      <c r="C84" s="2" t="s">
        <v>34</v>
      </c>
      <c r="D84" s="11" t="str">
        <f ca="1" xml:space="preserve"> $D$3</f>
        <v>1800_Pur Req-Sales &amp; Mktg Mgmt--2021-04-06-173343</v>
      </c>
      <c r="F84" s="2"/>
    </row>
    <row r="85" spans="1:6">
      <c r="A85" t="str">
        <f t="shared" si="2"/>
        <v>step75</v>
      </c>
      <c r="B85" s="2" t="s">
        <v>33</v>
      </c>
      <c r="C85" s="2" t="s">
        <v>43</v>
      </c>
      <c r="D85" s="11" t="str">
        <f ca="1" xml:space="preserve"> C85&amp;":"&amp;$D$3</f>
        <v>name=mail_body:1800_Pur Req-Sales &amp; Mktg Mgmt--2021-04-06-173343</v>
      </c>
      <c r="F85" s="2"/>
    </row>
    <row r="86" spans="1:6">
      <c r="A86" t="str">
        <f t="shared" si="2"/>
        <v>step76</v>
      </c>
      <c r="B86" s="17" t="s">
        <v>68</v>
      </c>
      <c r="C86" s="17" t="s">
        <v>35</v>
      </c>
      <c r="D86" s="19">
        <v>1000</v>
      </c>
      <c r="E86" s="17"/>
      <c r="F86" s="17" t="s">
        <v>67</v>
      </c>
    </row>
    <row r="87" spans="1:6">
      <c r="A87" t="str">
        <f t="shared" si="2"/>
        <v>step77</v>
      </c>
      <c r="B87" s="2" t="s">
        <v>73</v>
      </c>
      <c r="C87" s="5"/>
      <c r="D87" s="11">
        <v>1000</v>
      </c>
      <c r="E87" s="5"/>
      <c r="F87" s="5"/>
    </row>
    <row r="88" spans="1:6">
      <c r="A88" t="str">
        <f t="shared" si="2"/>
        <v>step78</v>
      </c>
      <c r="B88" s="17" t="s">
        <v>7</v>
      </c>
      <c r="C88" s="17" t="s">
        <v>35</v>
      </c>
      <c r="D88" s="19"/>
      <c r="E88" s="2" t="s">
        <v>184</v>
      </c>
      <c r="F88" s="2"/>
    </row>
    <row r="89" spans="1:6">
      <c r="A89" t="str">
        <f t="shared" si="2"/>
        <v>step79</v>
      </c>
      <c r="B89" s="2" t="s">
        <v>7</v>
      </c>
      <c r="C89" s="5" t="s">
        <v>36</v>
      </c>
      <c r="E89" s="2" t="s">
        <v>184</v>
      </c>
      <c r="F89" s="2"/>
    </row>
    <row r="90" spans="1:6">
      <c r="A90" t="str">
        <f t="shared" si="2"/>
        <v>step80</v>
      </c>
      <c r="B90" s="2" t="s">
        <v>7</v>
      </c>
      <c r="C90" s="5" t="s">
        <v>37</v>
      </c>
      <c r="E90" s="2" t="s">
        <v>184</v>
      </c>
      <c r="F90" s="2"/>
    </row>
    <row r="91" spans="1:6">
      <c r="A91" t="str">
        <f t="shared" si="2"/>
        <v>step81</v>
      </c>
      <c r="B91" s="2" t="s">
        <v>7</v>
      </c>
      <c r="C91" s="5" t="s">
        <v>38</v>
      </c>
      <c r="E91" s="2" t="s">
        <v>184</v>
      </c>
      <c r="F91" s="2"/>
    </row>
    <row r="92" spans="1:6">
      <c r="A92" t="str">
        <f t="shared" si="2"/>
        <v>step82</v>
      </c>
      <c r="B92" s="2" t="s">
        <v>7</v>
      </c>
      <c r="C92" s="5" t="s">
        <v>39</v>
      </c>
      <c r="E92" s="2" t="s">
        <v>184</v>
      </c>
      <c r="F92" s="2"/>
    </row>
    <row r="93" spans="1:6">
      <c r="A93" t="str">
        <f t="shared" si="2"/>
        <v>step83</v>
      </c>
      <c r="B93" s="2" t="s">
        <v>7</v>
      </c>
      <c r="C93" s="5" t="s">
        <v>40</v>
      </c>
      <c r="F93" s="2" t="s">
        <v>75</v>
      </c>
    </row>
    <row r="94" spans="1:6">
      <c r="A94" t="str">
        <f t="shared" si="2"/>
        <v>step84</v>
      </c>
      <c r="B94" s="2" t="s">
        <v>7</v>
      </c>
      <c r="C94" s="2" t="s">
        <v>41</v>
      </c>
      <c r="E94" s="2" t="s">
        <v>184</v>
      </c>
      <c r="F94" s="2"/>
    </row>
    <row r="95" spans="1:6">
      <c r="A95" t="str">
        <f t="shared" si="2"/>
        <v>step85</v>
      </c>
      <c r="B95" s="14" t="s">
        <v>11</v>
      </c>
      <c r="C95" s="14" t="s">
        <v>171</v>
      </c>
      <c r="D95" s="16" t="s">
        <v>48</v>
      </c>
      <c r="E95" s="14"/>
      <c r="F95" s="14" t="s">
        <v>42</v>
      </c>
    </row>
    <row r="96" spans="1:6">
      <c r="A96" t="str">
        <f t="shared" si="2"/>
        <v>step86</v>
      </c>
      <c r="B96" s="14" t="s">
        <v>11</v>
      </c>
      <c r="C96" s="15" t="s">
        <v>30</v>
      </c>
      <c r="D96" s="16"/>
      <c r="E96" s="18"/>
      <c r="F96" s="18" t="s">
        <v>51</v>
      </c>
    </row>
    <row r="97" spans="1:6">
      <c r="A97" t="str">
        <f t="shared" si="2"/>
        <v>step87</v>
      </c>
      <c r="B97" s="14" t="s">
        <v>11</v>
      </c>
      <c r="C97" s="15" t="s">
        <v>12</v>
      </c>
      <c r="D97" s="16" t="s">
        <v>49</v>
      </c>
      <c r="F97" s="2"/>
    </row>
    <row r="98" spans="1:6">
      <c r="A98" t="str">
        <f t="shared" si="2"/>
        <v>step88</v>
      </c>
      <c r="B98" s="14" t="s">
        <v>11</v>
      </c>
      <c r="C98" s="15" t="s">
        <v>12</v>
      </c>
      <c r="D98" s="16" t="s">
        <v>47</v>
      </c>
      <c r="F98" s="2" t="s">
        <v>70</v>
      </c>
    </row>
    <row r="99" spans="1:6">
      <c r="A99" t="str">
        <f t="shared" si="2"/>
        <v>step89</v>
      </c>
      <c r="B99" s="17" t="s">
        <v>68</v>
      </c>
      <c r="C99" s="17" t="s">
        <v>54</v>
      </c>
      <c r="D99" s="19">
        <v>1000</v>
      </c>
      <c r="E99" s="17"/>
      <c r="F99" s="17" t="s">
        <v>69</v>
      </c>
    </row>
    <row r="100" spans="1:6">
      <c r="A100" t="str">
        <f t="shared" si="2"/>
        <v>step90</v>
      </c>
      <c r="B100" s="2" t="s">
        <v>73</v>
      </c>
      <c r="C100" s="5"/>
      <c r="D100" s="11">
        <v>1000</v>
      </c>
      <c r="E100" s="5"/>
      <c r="F100" s="5"/>
    </row>
    <row r="101" spans="1:6">
      <c r="A101" t="str">
        <f t="shared" si="2"/>
        <v>step91</v>
      </c>
      <c r="B101" s="2" t="s">
        <v>52</v>
      </c>
      <c r="C101" s="2" t="s">
        <v>55</v>
      </c>
      <c r="D101" s="11" t="s">
        <v>83</v>
      </c>
      <c r="F101" s="2"/>
    </row>
    <row r="102" spans="1:6">
      <c r="A102" t="str">
        <f t="shared" si="2"/>
        <v>step92</v>
      </c>
      <c r="B102" s="2" t="s">
        <v>7</v>
      </c>
      <c r="C102" s="2" t="s">
        <v>56</v>
      </c>
      <c r="F102" s="2"/>
    </row>
    <row r="103" spans="1:6">
      <c r="A103" t="str">
        <f t="shared" si="2"/>
        <v>step93</v>
      </c>
      <c r="B103" s="2" t="s">
        <v>52</v>
      </c>
      <c r="C103" s="2" t="s">
        <v>55</v>
      </c>
      <c r="D103" s="11" t="s">
        <v>83</v>
      </c>
      <c r="F103" s="2"/>
    </row>
    <row r="104" spans="1:6">
      <c r="A104" t="str">
        <f t="shared" si="2"/>
        <v>step94</v>
      </c>
      <c r="B104" s="17" t="s">
        <v>86</v>
      </c>
      <c r="C104" s="2" t="s">
        <v>57</v>
      </c>
      <c r="D104" s="11" t="s">
        <v>84</v>
      </c>
      <c r="F104" s="2"/>
    </row>
    <row r="105" spans="1:6">
      <c r="A105" t="str">
        <f t="shared" si="2"/>
        <v>step95</v>
      </c>
      <c r="B105" s="2" t="s">
        <v>7</v>
      </c>
      <c r="C105" s="2" t="s">
        <v>56</v>
      </c>
      <c r="F105" s="2"/>
    </row>
    <row r="106" spans="1:6">
      <c r="A106" t="str">
        <f t="shared" si="2"/>
        <v>step96</v>
      </c>
      <c r="B106" s="2" t="s">
        <v>7</v>
      </c>
      <c r="C106" s="2" t="s">
        <v>41</v>
      </c>
      <c r="F106" s="2"/>
    </row>
    <row r="107" spans="1:6">
      <c r="A107" t="str">
        <f t="shared" si="2"/>
        <v>step97</v>
      </c>
      <c r="B107" s="14" t="s">
        <v>11</v>
      </c>
      <c r="C107" s="14" t="s">
        <v>171</v>
      </c>
      <c r="D107" s="16" t="s">
        <v>48</v>
      </c>
      <c r="E107" s="14"/>
      <c r="F107" s="14" t="s">
        <v>42</v>
      </c>
    </row>
    <row r="108" spans="1:6">
      <c r="A108" t="str">
        <f t="shared" si="2"/>
        <v>step98</v>
      </c>
      <c r="B108" s="14" t="s">
        <v>11</v>
      </c>
      <c r="C108" s="15" t="s">
        <v>12</v>
      </c>
      <c r="D108" s="16" t="s">
        <v>49</v>
      </c>
      <c r="F108" s="2"/>
    </row>
    <row r="109" spans="1:6">
      <c r="A109" t="str">
        <f t="shared" si="2"/>
        <v>step99</v>
      </c>
      <c r="B109" s="14" t="s">
        <v>11</v>
      </c>
      <c r="C109" s="15" t="s">
        <v>12</v>
      </c>
      <c r="D109" s="16" t="s">
        <v>47</v>
      </c>
      <c r="F109" s="2" t="s">
        <v>70</v>
      </c>
    </row>
    <row r="110" spans="1:6">
      <c r="A110" t="str">
        <f t="shared" si="2"/>
        <v>step100</v>
      </c>
      <c r="B110" s="2" t="s">
        <v>7</v>
      </c>
      <c r="C110" s="2" t="s">
        <v>74</v>
      </c>
      <c r="D110" s="19"/>
      <c r="F110" s="2"/>
    </row>
    <row r="111" spans="1:6">
      <c r="A111" t="str">
        <f t="shared" si="2"/>
        <v>step101</v>
      </c>
      <c r="B111" s="14" t="s">
        <v>145</v>
      </c>
      <c r="C111" s="15" t="s">
        <v>76</v>
      </c>
      <c r="F111" s="2"/>
    </row>
    <row r="112" spans="1:6">
      <c r="A112" t="str">
        <f t="shared" si="2"/>
        <v>step102</v>
      </c>
      <c r="B112" s="2" t="s">
        <v>73</v>
      </c>
      <c r="D112" s="11">
        <v>1000</v>
      </c>
      <c r="F112" s="2"/>
    </row>
    <row r="113" spans="1:6">
      <c r="A113" t="str">
        <f t="shared" ref="A113:A172" si="4">"step"&amp;ROW()-10</f>
        <v>step103</v>
      </c>
      <c r="B113" s="2" t="s">
        <v>52</v>
      </c>
      <c r="C113" s="5"/>
      <c r="D113" s="11" t="s">
        <v>53</v>
      </c>
      <c r="F113" s="2"/>
    </row>
    <row r="114" spans="1:6">
      <c r="A114" t="str">
        <f t="shared" si="4"/>
        <v>step104</v>
      </c>
      <c r="B114" s="14" t="s">
        <v>11</v>
      </c>
      <c r="C114" s="14" t="s">
        <v>171</v>
      </c>
      <c r="D114" s="16" t="s">
        <v>48</v>
      </c>
      <c r="E114" s="14"/>
      <c r="F114" s="14" t="s">
        <v>42</v>
      </c>
    </row>
    <row r="115" spans="1:6">
      <c r="A115" s="20" t="str">
        <f t="shared" si="4"/>
        <v>step105</v>
      </c>
      <c r="B115" s="14" t="s">
        <v>11</v>
      </c>
      <c r="C115" s="15" t="s">
        <v>30</v>
      </c>
      <c r="D115" s="16"/>
      <c r="E115" s="18"/>
      <c r="F115" s="18"/>
    </row>
    <row r="116" spans="1:6">
      <c r="A116" t="str">
        <f t="shared" si="4"/>
        <v>step106</v>
      </c>
      <c r="B116" s="14" t="s">
        <v>11</v>
      </c>
      <c r="C116" s="15" t="s">
        <v>12</v>
      </c>
      <c r="D116" s="16">
        <v>0</v>
      </c>
      <c r="F116" s="2"/>
    </row>
    <row r="117" spans="1:6" ht="37.5">
      <c r="A117" t="str">
        <f t="shared" si="4"/>
        <v>step107</v>
      </c>
      <c r="B117" s="2" t="s">
        <v>254</v>
      </c>
      <c r="C117" s="33" t="s">
        <v>253</v>
      </c>
      <c r="F117" s="2" t="s">
        <v>141</v>
      </c>
    </row>
    <row r="118" spans="1:6" ht="37.5">
      <c r="A118" t="str">
        <f t="shared" si="4"/>
        <v>step108</v>
      </c>
      <c r="B118" s="2" t="s">
        <v>254</v>
      </c>
      <c r="C118" s="33" t="s">
        <v>263</v>
      </c>
      <c r="D118" s="19"/>
      <c r="E118" s="17"/>
      <c r="F118" s="17" t="s">
        <v>247</v>
      </c>
    </row>
    <row r="119" spans="1:6">
      <c r="B119" s="17" t="s">
        <v>147</v>
      </c>
      <c r="C119" s="34" t="s">
        <v>262</v>
      </c>
      <c r="D119" s="19"/>
      <c r="E119" s="17"/>
      <c r="F119" s="17"/>
    </row>
    <row r="120" spans="1:6">
      <c r="B120" s="17" t="s">
        <v>268</v>
      </c>
      <c r="C120" s="34" t="s">
        <v>269</v>
      </c>
      <c r="D120" s="19">
        <v>1</v>
      </c>
      <c r="E120" s="17"/>
      <c r="F120" s="17"/>
    </row>
    <row r="121" spans="1:6">
      <c r="A121" t="str">
        <f t="shared" si="4"/>
        <v>step111</v>
      </c>
      <c r="B121" s="2" t="s">
        <v>258</v>
      </c>
      <c r="C121" s="5" t="s">
        <v>259</v>
      </c>
      <c r="F121" s="2" t="s">
        <v>257</v>
      </c>
    </row>
    <row r="122" spans="1:6">
      <c r="A122" t="str">
        <f t="shared" si="4"/>
        <v>step112</v>
      </c>
      <c r="B122" s="2" t="s">
        <v>258</v>
      </c>
      <c r="C122" s="5" t="s">
        <v>149</v>
      </c>
      <c r="F122" s="2" t="s">
        <v>257</v>
      </c>
    </row>
    <row r="123" spans="1:6">
      <c r="A123" t="str">
        <f t="shared" si="4"/>
        <v>step113</v>
      </c>
      <c r="B123" s="17" t="s">
        <v>147</v>
      </c>
      <c r="C123" s="34" t="s">
        <v>260</v>
      </c>
      <c r="D123" s="19"/>
      <c r="E123" s="17"/>
      <c r="F123" s="17" t="s">
        <v>247</v>
      </c>
    </row>
    <row r="124" spans="1:6" ht="37.5">
      <c r="A124" t="str">
        <f t="shared" si="4"/>
        <v>step114</v>
      </c>
      <c r="B124" s="26" t="s">
        <v>7</v>
      </c>
      <c r="C124" s="33" t="s">
        <v>160</v>
      </c>
      <c r="D124" s="28"/>
      <c r="E124" s="26"/>
      <c r="F124" s="26" t="s">
        <v>91</v>
      </c>
    </row>
    <row r="125" spans="1:6">
      <c r="A125" t="str">
        <f t="shared" si="4"/>
        <v>step115</v>
      </c>
      <c r="B125" s="26" t="s">
        <v>251</v>
      </c>
      <c r="C125" s="33" t="s">
        <v>162</v>
      </c>
      <c r="D125" s="28"/>
      <c r="E125" s="26"/>
      <c r="F125" s="26" t="s">
        <v>91</v>
      </c>
    </row>
    <row r="126" spans="1:6">
      <c r="A126" t="str">
        <f t="shared" si="4"/>
        <v>step116</v>
      </c>
      <c r="B126" s="17" t="s">
        <v>147</v>
      </c>
      <c r="C126" s="34" t="s">
        <v>148</v>
      </c>
      <c r="D126" s="19"/>
      <c r="E126" s="17"/>
      <c r="F126" s="17"/>
    </row>
    <row r="127" spans="1:6" ht="37.5">
      <c r="A127" t="str">
        <f t="shared" si="4"/>
        <v>step117</v>
      </c>
      <c r="B127" s="2" t="s">
        <v>7</v>
      </c>
      <c r="C127" s="32" t="s">
        <v>161</v>
      </c>
      <c r="F127" s="2" t="s">
        <v>137</v>
      </c>
    </row>
    <row r="128" spans="1:6">
      <c r="A128" t="str">
        <f t="shared" si="4"/>
        <v>step118</v>
      </c>
      <c r="B128" s="26" t="s">
        <v>251</v>
      </c>
      <c r="C128" s="27" t="s">
        <v>162</v>
      </c>
      <c r="D128" s="28"/>
      <c r="E128" s="26"/>
      <c r="F128" s="26" t="s">
        <v>91</v>
      </c>
    </row>
    <row r="129" spans="1:6">
      <c r="A129" t="str">
        <f t="shared" si="4"/>
        <v>step119</v>
      </c>
      <c r="B129" s="17" t="s">
        <v>147</v>
      </c>
      <c r="C129" s="18" t="s">
        <v>155</v>
      </c>
      <c r="D129" s="19"/>
      <c r="E129" s="17"/>
      <c r="F129" s="17"/>
    </row>
    <row r="130" spans="1:6">
      <c r="A130" t="str">
        <f t="shared" si="4"/>
        <v>step120</v>
      </c>
      <c r="B130" s="14" t="s">
        <v>145</v>
      </c>
      <c r="C130" s="15" t="s">
        <v>76</v>
      </c>
      <c r="F130" s="2"/>
    </row>
    <row r="131" spans="1:6">
      <c r="A131" t="str">
        <f t="shared" si="4"/>
        <v>step121</v>
      </c>
      <c r="B131" s="2" t="s">
        <v>52</v>
      </c>
      <c r="C131" s="5"/>
      <c r="D131" s="11" t="s">
        <v>53</v>
      </c>
      <c r="F131" s="2"/>
    </row>
    <row r="132" spans="1:6">
      <c r="A132" t="str">
        <f t="shared" si="4"/>
        <v>step122</v>
      </c>
      <c r="B132" s="2" t="s">
        <v>52</v>
      </c>
      <c r="C132" s="5"/>
      <c r="D132" s="11" t="s">
        <v>53</v>
      </c>
      <c r="F132" s="2"/>
    </row>
    <row r="133" spans="1:6">
      <c r="A133" t="str">
        <f t="shared" si="4"/>
        <v>step123</v>
      </c>
      <c r="B133" s="17" t="s">
        <v>147</v>
      </c>
      <c r="C133" s="18" t="s">
        <v>250</v>
      </c>
      <c r="D133" s="19"/>
      <c r="E133" s="17"/>
      <c r="F133" s="17"/>
    </row>
    <row r="134" spans="1:6">
      <c r="A134" t="str">
        <f t="shared" si="4"/>
        <v>step124</v>
      </c>
      <c r="B134" s="2" t="s">
        <v>92</v>
      </c>
      <c r="C134" s="25" t="s">
        <v>245</v>
      </c>
      <c r="F134" s="2" t="s">
        <v>96</v>
      </c>
    </row>
    <row r="135" spans="1:6">
      <c r="A135" t="str">
        <f t="shared" si="4"/>
        <v>step125</v>
      </c>
      <c r="B135" s="17" t="s">
        <v>147</v>
      </c>
      <c r="C135" s="18" t="s">
        <v>264</v>
      </c>
      <c r="D135" s="19"/>
      <c r="E135" s="17"/>
      <c r="F135" s="17"/>
    </row>
    <row r="136" spans="1:6">
      <c r="A136" s="20" t="str">
        <f t="shared" si="4"/>
        <v>step126</v>
      </c>
      <c r="B136" s="2" t="s">
        <v>92</v>
      </c>
      <c r="C136" s="25" t="s">
        <v>164</v>
      </c>
      <c r="F136" s="2" t="s">
        <v>95</v>
      </c>
    </row>
    <row r="137" spans="1:6">
      <c r="A137" s="20" t="str">
        <f t="shared" si="4"/>
        <v>step127</v>
      </c>
      <c r="B137" s="14" t="s">
        <v>11</v>
      </c>
      <c r="C137" s="15" t="s">
        <v>12</v>
      </c>
      <c r="D137" s="16" t="s">
        <v>46</v>
      </c>
      <c r="E137" s="18"/>
      <c r="F137" s="18"/>
    </row>
    <row r="138" spans="1:6">
      <c r="A138" s="20" t="str">
        <f t="shared" si="4"/>
        <v>step128</v>
      </c>
      <c r="B138" s="14" t="s">
        <v>11</v>
      </c>
      <c r="C138" s="15" t="s">
        <v>12</v>
      </c>
      <c r="D138" s="16">
        <v>1</v>
      </c>
      <c r="E138" s="14"/>
      <c r="F138" s="14" t="s">
        <v>134</v>
      </c>
    </row>
    <row r="139" spans="1:6" ht="37.5">
      <c r="A139" s="20" t="str">
        <f t="shared" si="4"/>
        <v>step129</v>
      </c>
      <c r="B139" s="17" t="s">
        <v>157</v>
      </c>
      <c r="C139" s="34" t="s">
        <v>266</v>
      </c>
      <c r="D139" s="11" t="str">
        <f ca="1">$D$3</f>
        <v>1800_Pur Req-Sales &amp; Mktg Mgmt--2021-04-06-173343</v>
      </c>
      <c r="F139" s="2" t="s">
        <v>133</v>
      </c>
    </row>
    <row r="140" spans="1:6">
      <c r="A140" s="20" t="str">
        <f t="shared" si="4"/>
        <v>step130</v>
      </c>
      <c r="B140" s="17" t="s">
        <v>14</v>
      </c>
      <c r="C140" s="18" t="s">
        <v>100</v>
      </c>
      <c r="D140" s="11" t="str">
        <f ca="1">$D$3</f>
        <v>1800_Pur Req-Sales &amp; Mktg Mgmt--2021-04-06-173343</v>
      </c>
      <c r="F140" s="2" t="s">
        <v>87</v>
      </c>
    </row>
    <row r="141" spans="1:6">
      <c r="A141" s="20" t="str">
        <f t="shared" si="4"/>
        <v>step131</v>
      </c>
      <c r="B141" s="14" t="s">
        <v>11</v>
      </c>
      <c r="C141" s="15" t="s">
        <v>30</v>
      </c>
      <c r="D141" s="16"/>
      <c r="E141" s="18"/>
      <c r="F141" s="18"/>
    </row>
    <row r="142" spans="1:6">
      <c r="A142" s="20" t="str">
        <f t="shared" si="4"/>
        <v>step132</v>
      </c>
      <c r="B142" s="14" t="s">
        <v>11</v>
      </c>
      <c r="C142" s="15" t="s">
        <v>12</v>
      </c>
      <c r="D142" s="16">
        <v>0</v>
      </c>
      <c r="E142" s="14"/>
      <c r="F142" s="14"/>
    </row>
    <row r="143" spans="1:6">
      <c r="A143" s="20" t="str">
        <f t="shared" si="4"/>
        <v>step133</v>
      </c>
      <c r="B143" s="14" t="s">
        <v>11</v>
      </c>
      <c r="C143" s="15" t="s">
        <v>12</v>
      </c>
      <c r="D143" s="16">
        <v>1</v>
      </c>
      <c r="E143" s="14"/>
      <c r="F143" s="14"/>
    </row>
    <row r="144" spans="1:6">
      <c r="A144" t="str">
        <f t="shared" si="4"/>
        <v>step134</v>
      </c>
      <c r="B144" s="17" t="s">
        <v>33</v>
      </c>
      <c r="C144" s="17" t="s">
        <v>99</v>
      </c>
      <c r="D144" s="19" t="str">
        <f ca="1" xml:space="preserve"> C144&amp;":"&amp;$D$3&amp;":OK"</f>
        <v>name=receive_comment:1800_Pur Req-Sales &amp; Mktg Mgmt--2021-04-06-173343:OK</v>
      </c>
      <c r="E144" s="17"/>
      <c r="F144" s="17"/>
    </row>
    <row r="145" spans="1:6">
      <c r="A145" s="20" t="str">
        <f t="shared" si="4"/>
        <v>step135</v>
      </c>
      <c r="B145" s="2" t="s">
        <v>7</v>
      </c>
      <c r="C145" s="2" t="s">
        <v>74</v>
      </c>
      <c r="F145" s="2" t="s">
        <v>261</v>
      </c>
    </row>
    <row r="146" spans="1:6">
      <c r="A146" s="20" t="str">
        <f t="shared" si="4"/>
        <v>step136</v>
      </c>
      <c r="B146" s="14" t="s">
        <v>146</v>
      </c>
      <c r="C146" s="15" t="s">
        <v>76</v>
      </c>
      <c r="F146" s="2"/>
    </row>
    <row r="147" spans="1:6">
      <c r="A147" s="20" t="str">
        <f t="shared" si="4"/>
        <v>step137</v>
      </c>
      <c r="B147" s="2" t="s">
        <v>52</v>
      </c>
      <c r="C147" s="5"/>
      <c r="D147" s="11" t="s">
        <v>53</v>
      </c>
      <c r="F147" s="2"/>
    </row>
    <row r="148" spans="1:6">
      <c r="A148" t="str">
        <f t="shared" si="4"/>
        <v>step138</v>
      </c>
      <c r="B148" s="14" t="s">
        <v>11</v>
      </c>
      <c r="C148" s="14" t="s">
        <v>171</v>
      </c>
      <c r="D148" s="16" t="s">
        <v>48</v>
      </c>
      <c r="E148" s="14"/>
      <c r="F148" s="14" t="s">
        <v>42</v>
      </c>
    </row>
    <row r="149" spans="1:6">
      <c r="A149" s="20" t="str">
        <f t="shared" si="4"/>
        <v>step139</v>
      </c>
      <c r="B149" s="14" t="s">
        <v>11</v>
      </c>
      <c r="C149" s="15" t="s">
        <v>30</v>
      </c>
      <c r="D149" s="16"/>
      <c r="E149" s="18"/>
      <c r="F149" s="18"/>
    </row>
    <row r="150" spans="1:6">
      <c r="A150" t="str">
        <f t="shared" si="4"/>
        <v>step140</v>
      </c>
      <c r="B150" s="14" t="s">
        <v>11</v>
      </c>
      <c r="C150" s="15" t="s">
        <v>12</v>
      </c>
      <c r="D150" s="16">
        <v>0</v>
      </c>
      <c r="F150" s="2"/>
    </row>
    <row r="151" spans="1:6" ht="37.5">
      <c r="A151" t="str">
        <f t="shared" si="4"/>
        <v>step141</v>
      </c>
      <c r="B151" s="2" t="s">
        <v>254</v>
      </c>
      <c r="C151" s="33" t="s">
        <v>263</v>
      </c>
      <c r="D151" s="19"/>
      <c r="E151" s="17"/>
      <c r="F151" s="17" t="s">
        <v>247</v>
      </c>
    </row>
    <row r="152" spans="1:6">
      <c r="A152" t="str">
        <f t="shared" si="4"/>
        <v>step142</v>
      </c>
      <c r="B152" s="26" t="s">
        <v>251</v>
      </c>
      <c r="C152" s="27" t="s">
        <v>265</v>
      </c>
      <c r="D152" s="28"/>
      <c r="E152" s="26"/>
      <c r="F152" s="26" t="s">
        <v>91</v>
      </c>
    </row>
    <row r="153" spans="1:6">
      <c r="A153" t="str">
        <f t="shared" si="4"/>
        <v>step143</v>
      </c>
      <c r="B153" s="17" t="s">
        <v>147</v>
      </c>
      <c r="C153" s="18" t="s">
        <v>256</v>
      </c>
      <c r="D153" s="19"/>
      <c r="E153" s="17"/>
      <c r="F153" s="17"/>
    </row>
    <row r="154" spans="1:6">
      <c r="A154" s="20" t="str">
        <f t="shared" si="4"/>
        <v>step144</v>
      </c>
      <c r="B154" s="2" t="s">
        <v>92</v>
      </c>
      <c r="C154" s="25" t="s">
        <v>255</v>
      </c>
      <c r="F154" s="2" t="s">
        <v>126</v>
      </c>
    </row>
    <row r="155" spans="1:6">
      <c r="A155" s="20" t="str">
        <f t="shared" si="4"/>
        <v>step145</v>
      </c>
      <c r="B155" s="14" t="s">
        <v>11</v>
      </c>
      <c r="C155" s="15" t="s">
        <v>12</v>
      </c>
      <c r="D155" s="16" t="s">
        <v>46</v>
      </c>
      <c r="E155" s="18"/>
      <c r="F155" s="18"/>
    </row>
    <row r="156" spans="1:6">
      <c r="A156" s="20" t="str">
        <f t="shared" si="4"/>
        <v>step146</v>
      </c>
      <c r="B156" s="14" t="s">
        <v>11</v>
      </c>
      <c r="C156" s="15" t="s">
        <v>12</v>
      </c>
      <c r="D156" s="16">
        <v>1</v>
      </c>
      <c r="E156" s="14"/>
      <c r="F156" s="14" t="s">
        <v>134</v>
      </c>
    </row>
    <row r="157" spans="1:6">
      <c r="A157" s="20" t="str">
        <f t="shared" si="4"/>
        <v>step147</v>
      </c>
      <c r="B157" s="17" t="s">
        <v>68</v>
      </c>
      <c r="C157" s="18" t="s">
        <v>186</v>
      </c>
      <c r="D157" s="11" t="str">
        <f ca="1">$D$3</f>
        <v>1800_Pur Req-Sales &amp; Mktg Mgmt--2021-04-06-173343</v>
      </c>
      <c r="F157" s="2" t="s">
        <v>174</v>
      </c>
    </row>
    <row r="158" spans="1:6">
      <c r="A158" s="20" t="str">
        <f t="shared" si="4"/>
        <v>step148</v>
      </c>
      <c r="B158" s="17" t="s">
        <v>9</v>
      </c>
      <c r="C158" s="18"/>
      <c r="D158" s="19">
        <v>1000</v>
      </c>
      <c r="E158" s="18"/>
      <c r="F158" s="18"/>
    </row>
    <row r="159" spans="1:6">
      <c r="A159" t="str">
        <f t="shared" si="4"/>
        <v>step149</v>
      </c>
      <c r="B159" s="2" t="s">
        <v>7</v>
      </c>
      <c r="C159" s="2" t="s">
        <v>41</v>
      </c>
      <c r="F159" s="2"/>
    </row>
    <row r="160" spans="1:6">
      <c r="A160" t="str">
        <f t="shared" si="4"/>
        <v>step150</v>
      </c>
      <c r="B160" s="14" t="s">
        <v>11</v>
      </c>
      <c r="C160" s="14" t="s">
        <v>171</v>
      </c>
      <c r="D160" s="16" t="s">
        <v>48</v>
      </c>
      <c r="E160" s="14"/>
      <c r="F160" s="14" t="s">
        <v>42</v>
      </c>
    </row>
    <row r="161" spans="1:6">
      <c r="A161" t="str">
        <f t="shared" si="4"/>
        <v>step151</v>
      </c>
      <c r="B161" s="2" t="s">
        <v>1</v>
      </c>
      <c r="C161" s="2" t="s">
        <v>125</v>
      </c>
      <c r="F161" s="2" t="s">
        <v>126</v>
      </c>
    </row>
    <row r="162" spans="1:6">
      <c r="A162" s="20" t="str">
        <f t="shared" si="4"/>
        <v>step152</v>
      </c>
      <c r="B162" s="14" t="s">
        <v>11</v>
      </c>
      <c r="C162" s="15" t="s">
        <v>12</v>
      </c>
      <c r="D162" s="16" t="s">
        <v>46</v>
      </c>
      <c r="E162" s="18"/>
      <c r="F162" s="18"/>
    </row>
    <row r="163" spans="1:6">
      <c r="A163" s="20" t="str">
        <f t="shared" si="4"/>
        <v>step153</v>
      </c>
      <c r="B163" s="14" t="s">
        <v>11</v>
      </c>
      <c r="C163" s="15" t="s">
        <v>12</v>
      </c>
      <c r="D163" s="16">
        <v>1</v>
      </c>
      <c r="E163" s="14"/>
      <c r="F163" s="14" t="s">
        <v>134</v>
      </c>
    </row>
    <row r="164" spans="1:6">
      <c r="A164" s="20" t="str">
        <f t="shared" si="4"/>
        <v>step154</v>
      </c>
      <c r="B164" s="17" t="s">
        <v>68</v>
      </c>
      <c r="C164" s="18" t="s">
        <v>185</v>
      </c>
      <c r="D164" s="11" t="str">
        <f ca="1">$D$3</f>
        <v>1800_Pur Req-Sales &amp; Mktg Mgmt--2021-04-06-173343</v>
      </c>
      <c r="F164" s="2" t="s">
        <v>170</v>
      </c>
    </row>
    <row r="165" spans="1:6">
      <c r="A165" s="20" t="str">
        <f t="shared" si="4"/>
        <v>step155</v>
      </c>
      <c r="B165" s="17" t="s">
        <v>9</v>
      </c>
      <c r="C165" s="18"/>
      <c r="D165" s="19">
        <v>1000</v>
      </c>
      <c r="E165" s="18"/>
      <c r="F165" s="18"/>
    </row>
    <row r="166" spans="1:6">
      <c r="A166" t="str">
        <f t="shared" si="4"/>
        <v>step156</v>
      </c>
      <c r="B166" s="2" t="s">
        <v>7</v>
      </c>
      <c r="C166" s="2" t="s">
        <v>41</v>
      </c>
      <c r="F166" s="2"/>
    </row>
    <row r="167" spans="1:6">
      <c r="A167" t="str">
        <f t="shared" si="4"/>
        <v>step157</v>
      </c>
      <c r="B167" s="14" t="s">
        <v>11</v>
      </c>
      <c r="C167" s="14" t="s">
        <v>171</v>
      </c>
      <c r="D167" s="16" t="s">
        <v>48</v>
      </c>
      <c r="E167" s="14"/>
      <c r="F167" s="14" t="s">
        <v>42</v>
      </c>
    </row>
    <row r="168" spans="1:6">
      <c r="A168" s="20" t="str">
        <f t="shared" si="4"/>
        <v>step158</v>
      </c>
      <c r="B168" s="2" t="s">
        <v>92</v>
      </c>
      <c r="C168" s="2" t="s">
        <v>127</v>
      </c>
      <c r="F168" s="2" t="s">
        <v>128</v>
      </c>
    </row>
    <row r="169" spans="1:6">
      <c r="A169" s="20" t="str">
        <f t="shared" si="4"/>
        <v>step159</v>
      </c>
      <c r="B169" s="2" t="s">
        <v>272</v>
      </c>
      <c r="C169" s="5" t="s">
        <v>273</v>
      </c>
      <c r="F169" s="2"/>
    </row>
    <row r="170" spans="1:6">
      <c r="A170" t="str">
        <f t="shared" si="4"/>
        <v>step160</v>
      </c>
      <c r="B170" s="2" t="s">
        <v>136</v>
      </c>
      <c r="C170" s="5" t="s">
        <v>267</v>
      </c>
      <c r="F170" s="2" t="s">
        <v>154</v>
      </c>
    </row>
    <row r="171" spans="1:6">
      <c r="A171" s="20" t="str">
        <f t="shared" si="4"/>
        <v>step161</v>
      </c>
      <c r="B171" s="2" t="s">
        <v>92</v>
      </c>
      <c r="C171" s="25" t="s">
        <v>130</v>
      </c>
      <c r="F171" s="2" t="s">
        <v>131</v>
      </c>
    </row>
    <row r="172" spans="1:6">
      <c r="A172" s="20" t="str">
        <f t="shared" si="4"/>
        <v>step162</v>
      </c>
      <c r="B172" s="2" t="s">
        <v>129</v>
      </c>
      <c r="F172" s="2"/>
    </row>
  </sheetData>
  <phoneticPr fontId="1"/>
  <conditionalFormatting sqref="F109 B86:D86 B165:D165 B79:D79 F79 B142:D143 B138:D138 B158:D158 B156:D156 B163:D163 F163 F156 F158 F138 F142:F143 F165 F86 D72:D76 B114 D116">
    <cfRule type="expression" dxfId="836" priority="1223">
      <formula>$B72="switchTo"</formula>
    </cfRule>
    <cfRule type="expression" dxfId="835" priority="1224">
      <formula>$B72="wait"</formula>
    </cfRule>
  </conditionalFormatting>
  <conditionalFormatting sqref="B104">
    <cfRule type="expression" dxfId="834" priority="1203">
      <formula>$B104="switchTo"</formula>
    </cfRule>
    <cfRule type="expression" dxfId="833" priority="1204">
      <formula>$B104="wait"</formula>
    </cfRule>
  </conditionalFormatting>
  <conditionalFormatting sqref="B108:C108 F108">
    <cfRule type="expression" dxfId="832" priority="1201">
      <formula>$B108="switchTo"</formula>
    </cfRule>
    <cfRule type="expression" dxfId="831" priority="1202">
      <formula>$B108="wait"</formula>
    </cfRule>
  </conditionalFormatting>
  <conditionalFormatting sqref="D108">
    <cfRule type="expression" dxfId="830" priority="1199">
      <formula>$B108="switchTo"</formula>
    </cfRule>
    <cfRule type="expression" dxfId="829" priority="1200">
      <formula>$B108="wait"</formula>
    </cfRule>
  </conditionalFormatting>
  <conditionalFormatting sqref="D97">
    <cfRule type="expression" dxfId="828" priority="1197">
      <formula>$B97="switchTo"</formula>
    </cfRule>
    <cfRule type="expression" dxfId="827" priority="1198">
      <formula>$B97="wait"</formula>
    </cfRule>
  </conditionalFormatting>
  <conditionalFormatting sqref="D22">
    <cfRule type="expression" dxfId="826" priority="1191">
      <formula>$B22="switchTo"</formula>
    </cfRule>
    <cfRule type="expression" dxfId="825" priority="1192">
      <formula>$B22="wait"</formula>
    </cfRule>
  </conditionalFormatting>
  <conditionalFormatting sqref="B80:D80">
    <cfRule type="expression" dxfId="824" priority="1189">
      <formula>$B80="switchTo"</formula>
    </cfRule>
    <cfRule type="expression" dxfId="823" priority="1190">
      <formula>$B80="wait"</formula>
    </cfRule>
  </conditionalFormatting>
  <conditionalFormatting sqref="F80">
    <cfRule type="expression" dxfId="822" priority="1187">
      <formula>$B80="switchTo"</formula>
    </cfRule>
    <cfRule type="expression" dxfId="821" priority="1188">
      <formula>$B80="wait"</formula>
    </cfRule>
  </conditionalFormatting>
  <conditionalFormatting sqref="B173:E180 B11:D25 D145 B168:D168 B171:D172 B138:D139 F138:F139 D170 B35:D38 D128 B158:D159 D160 B161:D161 F158:F161 B156:D156 F156 B163:D163 F163 B165:D166 D167 F165:F168 D33:D34 D30 F11:F25 B72:D113 F33:F38 E33:E36 F30 F77:F113 E78:E113 B114:F114 B116:F116 B123:F123 B124:D126 B129:D132 E124:F132 B134:F136 B141:D144 E141:F145 B153:F154 F170:F172">
    <cfRule type="expression" dxfId="820" priority="1186">
      <formula>$B11="popup"</formula>
    </cfRule>
    <cfRule type="expression" dxfId="819" priority="1227">
      <formula>$B11="switchTo"</formula>
    </cfRule>
    <cfRule type="expression" dxfId="818" priority="1228">
      <formula>$B11="wait"</formula>
    </cfRule>
  </conditionalFormatting>
  <conditionalFormatting sqref="F147">
    <cfRule type="expression" dxfId="817" priority="1127">
      <formula>$B147="popup"</formula>
    </cfRule>
    <cfRule type="expression" dxfId="816" priority="1128">
      <formula>$B147="switchTo"</formula>
    </cfRule>
    <cfRule type="expression" dxfId="815" priority="1129">
      <formula>$B147="wait"</formula>
    </cfRule>
  </conditionalFormatting>
  <conditionalFormatting sqref="F146">
    <cfRule type="expression" dxfId="814" priority="1124">
      <formula>$B146="popup"</formula>
    </cfRule>
    <cfRule type="expression" dxfId="813" priority="1125">
      <formula>$B146="switchTo"</formula>
    </cfRule>
    <cfRule type="expression" dxfId="812" priority="1126">
      <formula>$B146="wait"</formula>
    </cfRule>
  </conditionalFormatting>
  <conditionalFormatting sqref="B140:C140 F140">
    <cfRule type="expression" dxfId="811" priority="1108">
      <formula>$B140="popup"</formula>
    </cfRule>
    <cfRule type="expression" dxfId="810" priority="1113">
      <formula>$B140="switchTo"</formula>
    </cfRule>
    <cfRule type="expression" dxfId="809" priority="1114">
      <formula>$B140="wait"</formula>
    </cfRule>
  </conditionalFormatting>
  <conditionalFormatting sqref="D140">
    <cfRule type="expression" dxfId="808" priority="1105">
      <formula>$B140="popup"</formula>
    </cfRule>
    <cfRule type="expression" dxfId="807" priority="1106">
      <formula>$B140="switchTo"</formula>
    </cfRule>
    <cfRule type="expression" dxfId="806" priority="1107">
      <formula>$B140="wait"</formula>
    </cfRule>
  </conditionalFormatting>
  <conditionalFormatting sqref="B145:C145">
    <cfRule type="expression" dxfId="805" priority="1102">
      <formula>$B145="popup"</formula>
    </cfRule>
    <cfRule type="expression" dxfId="804" priority="1103">
      <formula>$B145="switchTo"</formula>
    </cfRule>
    <cfRule type="expression" dxfId="803" priority="1104">
      <formula>$B145="wait"</formula>
    </cfRule>
  </conditionalFormatting>
  <conditionalFormatting sqref="B146:D147">
    <cfRule type="expression" dxfId="802" priority="1099">
      <formula>$B146="popup"</formula>
    </cfRule>
    <cfRule type="expression" dxfId="801" priority="1100">
      <formula>$B146="switchTo"</formula>
    </cfRule>
    <cfRule type="expression" dxfId="800" priority="1101">
      <formula>$B146="wait"</formula>
    </cfRule>
  </conditionalFormatting>
  <conditionalFormatting sqref="C137">
    <cfRule type="expression" dxfId="799" priority="1092">
      <formula>$B137="switchTo"</formula>
    </cfRule>
    <cfRule type="expression" dxfId="798" priority="1093">
      <formula>$B137="wait"</formula>
    </cfRule>
  </conditionalFormatting>
  <conditionalFormatting sqref="B137 F137">
    <cfRule type="expression" dxfId="797" priority="1096">
      <formula>$B137="popup"</formula>
    </cfRule>
    <cfRule type="expression" dxfId="796" priority="1097">
      <formula>$B137="switchTo"</formula>
    </cfRule>
    <cfRule type="expression" dxfId="795" priority="1098">
      <formula>$B137="wait"</formula>
    </cfRule>
  </conditionalFormatting>
  <conditionalFormatting sqref="C137">
    <cfRule type="expression" dxfId="794" priority="1091">
      <formula>$B137="popup"</formula>
    </cfRule>
    <cfRule type="expression" dxfId="793" priority="1094">
      <formula>$B137="switchTo"</formula>
    </cfRule>
    <cfRule type="expression" dxfId="792" priority="1095">
      <formula>$B137="wait"</formula>
    </cfRule>
  </conditionalFormatting>
  <conditionalFormatting sqref="D137">
    <cfRule type="expression" dxfId="791" priority="1087">
      <formula>$B137="switchTo"</formula>
    </cfRule>
    <cfRule type="expression" dxfId="790" priority="1088">
      <formula>$B137="wait"</formula>
    </cfRule>
  </conditionalFormatting>
  <conditionalFormatting sqref="D137">
    <cfRule type="expression" dxfId="789" priority="1086">
      <formula>$B137="popup"</formula>
    </cfRule>
    <cfRule type="expression" dxfId="788" priority="1089">
      <formula>$B137="switchTo"</formula>
    </cfRule>
    <cfRule type="expression" dxfId="787" priority="1090">
      <formula>$B137="wait"</formula>
    </cfRule>
  </conditionalFormatting>
  <conditionalFormatting sqref="B127 D127">
    <cfRule type="expression" dxfId="786" priority="890">
      <formula>$B127="popup"</formula>
    </cfRule>
    <cfRule type="expression" dxfId="785" priority="891">
      <formula>$B127="switchTo"</formula>
    </cfRule>
    <cfRule type="expression" dxfId="784" priority="892">
      <formula>$B127="wait"</formula>
    </cfRule>
  </conditionalFormatting>
  <conditionalFormatting sqref="C127">
    <cfRule type="expression" dxfId="783" priority="881">
      <formula>$B127="popup"</formula>
    </cfRule>
    <cfRule type="expression" dxfId="782" priority="882">
      <formula>$B127="switchTo"</formula>
    </cfRule>
    <cfRule type="expression" dxfId="781" priority="883">
      <formula>$B127="wait"</formula>
    </cfRule>
  </conditionalFormatting>
  <conditionalFormatting sqref="B170">
    <cfRule type="expression" dxfId="780" priority="848">
      <formula>$B170="popup"</formula>
    </cfRule>
    <cfRule type="expression" dxfId="779" priority="849">
      <formula>$B170="switchTo"</formula>
    </cfRule>
    <cfRule type="expression" dxfId="778" priority="850">
      <formula>$B170="wait"</formula>
    </cfRule>
  </conditionalFormatting>
  <conditionalFormatting sqref="C170">
    <cfRule type="expression" dxfId="777" priority="845">
      <formula>$B170="popup"</formula>
    </cfRule>
    <cfRule type="expression" dxfId="776" priority="846">
      <formula>$B170="switchTo"</formula>
    </cfRule>
    <cfRule type="expression" dxfId="775" priority="847">
      <formula>$B170="wait"</formula>
    </cfRule>
  </conditionalFormatting>
  <conditionalFormatting sqref="B11:D25 B173:E267 B168:D168 B35:D38 D128 D157 D160 B158:D159 B161:D163 B165:D166 D167 D33:D34 D30 F165:F168 F62:F65 F11:F25 B62:D65 B77:D113 F77:F113 B72:F76 F33:F38 E33:E36 F30 B114:F114 B116:F116 B123:F123 B124:D127 B129:D132 E124:F132 B134:F147 B153:D156 E153:F163 F170:F172 B170:D172">
    <cfRule type="expression" dxfId="774" priority="827">
      <formula>$B11="label"</formula>
    </cfRule>
  </conditionalFormatting>
  <conditionalFormatting sqref="F38">
    <cfRule type="expression" dxfId="773" priority="781">
      <formula>$B38="switchTo"</formula>
    </cfRule>
    <cfRule type="expression" dxfId="772" priority="782">
      <formula>$B38="wait"</formula>
    </cfRule>
  </conditionalFormatting>
  <conditionalFormatting sqref="C62">
    <cfRule type="expression" dxfId="771" priority="777">
      <formula>$B62="switchTo"</formula>
    </cfRule>
    <cfRule type="expression" dxfId="770" priority="778">
      <formula>$B62="wait"</formula>
    </cfRule>
  </conditionalFormatting>
  <conditionalFormatting sqref="D63">
    <cfRule type="expression" dxfId="769" priority="779">
      <formula>$B63="switchTo"</formula>
    </cfRule>
    <cfRule type="expression" dxfId="768" priority="780">
      <formula>$B63="wait"</formula>
    </cfRule>
  </conditionalFormatting>
  <conditionalFormatting sqref="D64:D65">
    <cfRule type="expression" dxfId="767" priority="775">
      <formula>$B64="switchTo"</formula>
    </cfRule>
    <cfRule type="expression" dxfId="766" priority="776">
      <formula>$B64="wait"</formula>
    </cfRule>
  </conditionalFormatting>
  <conditionalFormatting sqref="D62:D65">
    <cfRule type="expression" dxfId="765" priority="773">
      <formula>$B62="switchTo"</formula>
    </cfRule>
    <cfRule type="expression" dxfId="764" priority="774">
      <formula>$B62="wait"</formula>
    </cfRule>
  </conditionalFormatting>
  <conditionalFormatting sqref="B62">
    <cfRule type="expression" dxfId="763" priority="771">
      <formula>$B62="switchTo"</formula>
    </cfRule>
    <cfRule type="expression" dxfId="762" priority="772">
      <formula>$B62="wait"</formula>
    </cfRule>
  </conditionalFormatting>
  <conditionalFormatting sqref="B62:D65">
    <cfRule type="expression" dxfId="761" priority="770">
      <formula>$B62="popup"</formula>
    </cfRule>
    <cfRule type="expression" dxfId="760" priority="783">
      <formula>$B62="switchTo"</formula>
    </cfRule>
    <cfRule type="expression" dxfId="759" priority="784">
      <formula>$B62="wait"</formula>
    </cfRule>
  </conditionalFormatting>
  <conditionalFormatting sqref="B39:C39 F39">
    <cfRule type="expression" dxfId="758" priority="765">
      <formula>$B39="switchTo"</formula>
    </cfRule>
    <cfRule type="expression" dxfId="757" priority="766">
      <formula>$B39="wait"</formula>
    </cfRule>
  </conditionalFormatting>
  <conditionalFormatting sqref="B39:C39 F39">
    <cfRule type="expression" dxfId="756" priority="764">
      <formula>$B39="popup"</formula>
    </cfRule>
    <cfRule type="expression" dxfId="755" priority="767">
      <formula>$B39="switchTo"</formula>
    </cfRule>
    <cfRule type="expression" dxfId="754" priority="768">
      <formula>$B39="wait"</formula>
    </cfRule>
  </conditionalFormatting>
  <conditionalFormatting sqref="B39:C39 F39">
    <cfRule type="expression" dxfId="753" priority="763">
      <formula>$B39="label"</formula>
    </cfRule>
  </conditionalFormatting>
  <conditionalFormatting sqref="D39">
    <cfRule type="expression" dxfId="752" priority="760">
      <formula>$B39="popup"</formula>
    </cfRule>
    <cfRule type="expression" dxfId="751" priority="761">
      <formula>$B39="switchTo"</formula>
    </cfRule>
    <cfRule type="expression" dxfId="750" priority="762">
      <formula>$B39="wait"</formula>
    </cfRule>
  </conditionalFormatting>
  <conditionalFormatting sqref="D39">
    <cfRule type="expression" dxfId="749" priority="759">
      <formula>$B39="label"</formula>
    </cfRule>
  </conditionalFormatting>
  <conditionalFormatting sqref="C128">
    <cfRule type="expression" dxfId="748" priority="732">
      <formula>$B128="popup"</formula>
    </cfRule>
    <cfRule type="expression" dxfId="747" priority="733">
      <formula>$B128="switchTo"</formula>
    </cfRule>
    <cfRule type="expression" dxfId="746" priority="734">
      <formula>$B128="wait"</formula>
    </cfRule>
  </conditionalFormatting>
  <conditionalFormatting sqref="C128">
    <cfRule type="expression" dxfId="745" priority="731">
      <formula>$B128="label"</formula>
    </cfRule>
  </conditionalFormatting>
  <conditionalFormatting sqref="B128">
    <cfRule type="expression" dxfId="744" priority="728">
      <formula>$B128="popup"</formula>
    </cfRule>
    <cfRule type="expression" dxfId="743" priority="729">
      <formula>$B128="switchTo"</formula>
    </cfRule>
    <cfRule type="expression" dxfId="742" priority="730">
      <formula>$B128="wait"</formula>
    </cfRule>
  </conditionalFormatting>
  <conditionalFormatting sqref="B128">
    <cfRule type="expression" dxfId="741" priority="727">
      <formula>$B128="label"</formula>
    </cfRule>
  </conditionalFormatting>
  <conditionalFormatting sqref="D157">
    <cfRule type="expression" dxfId="740" priority="698">
      <formula>$B157="popup"</formula>
    </cfRule>
    <cfRule type="expression" dxfId="739" priority="699">
      <formula>$B157="switchTo"</formula>
    </cfRule>
    <cfRule type="expression" dxfId="738" priority="700">
      <formula>$B157="wait"</formula>
    </cfRule>
  </conditionalFormatting>
  <conditionalFormatting sqref="F157">
    <cfRule type="expression" dxfId="737" priority="701">
      <formula>$B157="popup"</formula>
    </cfRule>
    <cfRule type="expression" dxfId="736" priority="702">
      <formula>$B157="switchTo"</formula>
    </cfRule>
    <cfRule type="expression" dxfId="735" priority="703">
      <formula>$B157="wait"</formula>
    </cfRule>
  </conditionalFormatting>
  <conditionalFormatting sqref="B157">
    <cfRule type="expression" dxfId="734" priority="694">
      <formula>$B157="popup"</formula>
    </cfRule>
    <cfRule type="expression" dxfId="733" priority="695">
      <formula>$B157="switchTo"</formula>
    </cfRule>
    <cfRule type="expression" dxfId="732" priority="696">
      <formula>$B157="wait"</formula>
    </cfRule>
  </conditionalFormatting>
  <conditionalFormatting sqref="B157">
    <cfRule type="expression" dxfId="731" priority="693">
      <formula>$B157="label"</formula>
    </cfRule>
  </conditionalFormatting>
  <conditionalFormatting sqref="D164">
    <cfRule type="expression" dxfId="730" priority="625">
      <formula>$B164="popup"</formula>
    </cfRule>
    <cfRule type="expression" dxfId="729" priority="626">
      <formula>$B164="switchTo"</formula>
    </cfRule>
    <cfRule type="expression" dxfId="728" priority="627">
      <formula>$B164="wait"</formula>
    </cfRule>
  </conditionalFormatting>
  <conditionalFormatting sqref="D164">
    <cfRule type="expression" dxfId="727" priority="624">
      <formula>$B164="label"</formula>
    </cfRule>
  </conditionalFormatting>
  <conditionalFormatting sqref="C155">
    <cfRule type="expression" dxfId="726" priority="662">
      <formula>$B155="switchTo"</formula>
    </cfRule>
    <cfRule type="expression" dxfId="725" priority="663">
      <formula>$B155="wait"</formula>
    </cfRule>
  </conditionalFormatting>
  <conditionalFormatting sqref="B155 F155">
    <cfRule type="expression" dxfId="724" priority="666">
      <formula>$B155="popup"</formula>
    </cfRule>
    <cfRule type="expression" dxfId="723" priority="667">
      <formula>$B155="switchTo"</formula>
    </cfRule>
    <cfRule type="expression" dxfId="722" priority="668">
      <formula>$B155="wait"</formula>
    </cfRule>
  </conditionalFormatting>
  <conditionalFormatting sqref="C155">
    <cfRule type="expression" dxfId="721" priority="661">
      <formula>$B155="popup"</formula>
    </cfRule>
    <cfRule type="expression" dxfId="720" priority="664">
      <formula>$B155="switchTo"</formula>
    </cfRule>
    <cfRule type="expression" dxfId="719" priority="665">
      <formula>$B155="wait"</formula>
    </cfRule>
  </conditionalFormatting>
  <conditionalFormatting sqref="D155">
    <cfRule type="expression" dxfId="718" priority="657">
      <formula>$B155="switchTo"</formula>
    </cfRule>
    <cfRule type="expression" dxfId="717" priority="658">
      <formula>$B155="wait"</formula>
    </cfRule>
  </conditionalFormatting>
  <conditionalFormatting sqref="D155">
    <cfRule type="expression" dxfId="716" priority="656">
      <formula>$B155="popup"</formula>
    </cfRule>
    <cfRule type="expression" dxfId="715" priority="659">
      <formula>$B155="switchTo"</formula>
    </cfRule>
    <cfRule type="expression" dxfId="714" priority="660">
      <formula>$B155="wait"</formula>
    </cfRule>
  </conditionalFormatting>
  <conditionalFormatting sqref="C162">
    <cfRule type="expression" dxfId="713" priority="643">
      <formula>$B162="switchTo"</formula>
    </cfRule>
    <cfRule type="expression" dxfId="712" priority="644">
      <formula>$B162="wait"</formula>
    </cfRule>
  </conditionalFormatting>
  <conditionalFormatting sqref="B162 F162">
    <cfRule type="expression" dxfId="711" priority="647">
      <formula>$B162="popup"</formula>
    </cfRule>
    <cfRule type="expression" dxfId="710" priority="648">
      <formula>$B162="switchTo"</formula>
    </cfRule>
    <cfRule type="expression" dxfId="709" priority="649">
      <formula>$B162="wait"</formula>
    </cfRule>
  </conditionalFormatting>
  <conditionalFormatting sqref="C162">
    <cfRule type="expression" dxfId="708" priority="642">
      <formula>$B162="popup"</formula>
    </cfRule>
    <cfRule type="expression" dxfId="707" priority="645">
      <formula>$B162="switchTo"</formula>
    </cfRule>
    <cfRule type="expression" dxfId="706" priority="646">
      <formula>$B162="wait"</formula>
    </cfRule>
  </conditionalFormatting>
  <conditionalFormatting sqref="D162">
    <cfRule type="expression" dxfId="705" priority="638">
      <formula>$B162="switchTo"</formula>
    </cfRule>
    <cfRule type="expression" dxfId="704" priority="639">
      <formula>$B162="wait"</formula>
    </cfRule>
  </conditionalFormatting>
  <conditionalFormatting sqref="D162">
    <cfRule type="expression" dxfId="703" priority="637">
      <formula>$B162="popup"</formula>
    </cfRule>
    <cfRule type="expression" dxfId="702" priority="640">
      <formula>$B162="switchTo"</formula>
    </cfRule>
    <cfRule type="expression" dxfId="701" priority="641">
      <formula>$B162="wait"</formula>
    </cfRule>
  </conditionalFormatting>
  <conditionalFormatting sqref="B164">
    <cfRule type="expression" dxfId="700" priority="621">
      <formula>$B164="popup"</formula>
    </cfRule>
    <cfRule type="expression" dxfId="699" priority="622">
      <formula>$B164="switchTo"</formula>
    </cfRule>
    <cfRule type="expression" dxfId="698" priority="623">
      <formula>$B164="wait"</formula>
    </cfRule>
  </conditionalFormatting>
  <conditionalFormatting sqref="B164">
    <cfRule type="expression" dxfId="697" priority="620">
      <formula>$B164="label"</formula>
    </cfRule>
  </conditionalFormatting>
  <conditionalFormatting sqref="B95">
    <cfRule type="expression" dxfId="696" priority="546">
      <formula>$B95="switchTo"</formula>
    </cfRule>
    <cfRule type="expression" dxfId="695" priority="547">
      <formula>$B95="wait"</formula>
    </cfRule>
  </conditionalFormatting>
  <conditionalFormatting sqref="B167:C167">
    <cfRule type="expression" dxfId="694" priority="525">
      <formula>$B167="popup"</formula>
    </cfRule>
    <cfRule type="expression" dxfId="693" priority="526">
      <formula>$B167="switchTo"</formula>
    </cfRule>
    <cfRule type="expression" dxfId="692" priority="527">
      <formula>$B167="wait"</formula>
    </cfRule>
  </conditionalFormatting>
  <conditionalFormatting sqref="B167:C167">
    <cfRule type="expression" dxfId="691" priority="524">
      <formula>$B167="label"</formula>
    </cfRule>
  </conditionalFormatting>
  <conditionalFormatting sqref="B160">
    <cfRule type="expression" dxfId="690" priority="488">
      <formula>$B160="popup"</formula>
    </cfRule>
    <cfRule type="expression" dxfId="689" priority="489">
      <formula>$B160="switchTo"</formula>
    </cfRule>
    <cfRule type="expression" dxfId="688" priority="490">
      <formula>$B160="wait"</formula>
    </cfRule>
  </conditionalFormatting>
  <conditionalFormatting sqref="C157">
    <cfRule type="expression" dxfId="687" priority="453">
      <formula>$B157="label"</formula>
    </cfRule>
  </conditionalFormatting>
  <conditionalFormatting sqref="B160:C160">
    <cfRule type="expression" dxfId="686" priority="491">
      <formula>$B160="popup"</formula>
    </cfRule>
    <cfRule type="expression" dxfId="685" priority="492">
      <formula>$B160="switchTo"</formula>
    </cfRule>
    <cfRule type="expression" dxfId="684" priority="493">
      <formula>$B160="wait"</formula>
    </cfRule>
  </conditionalFormatting>
  <conditionalFormatting sqref="B107">
    <cfRule type="expression" dxfId="683" priority="544">
      <formula>$B107="switchTo"</formula>
    </cfRule>
    <cfRule type="expression" dxfId="682" priority="545">
      <formula>$B107="wait"</formula>
    </cfRule>
  </conditionalFormatting>
  <conditionalFormatting sqref="B167:C167">
    <cfRule type="expression" dxfId="681" priority="521">
      <formula>$B167="popup"</formula>
    </cfRule>
    <cfRule type="expression" dxfId="680" priority="522">
      <formula>$B167="switchTo"</formula>
    </cfRule>
    <cfRule type="expression" dxfId="679" priority="523">
      <formula>$B167="wait"</formula>
    </cfRule>
  </conditionalFormatting>
  <conditionalFormatting sqref="B167">
    <cfRule type="expression" dxfId="678" priority="518">
      <formula>$B167="popup"</formula>
    </cfRule>
    <cfRule type="expression" dxfId="677" priority="519">
      <formula>$B167="switchTo"</formula>
    </cfRule>
    <cfRule type="expression" dxfId="676" priority="520">
      <formula>$B167="wait"</formula>
    </cfRule>
  </conditionalFormatting>
  <conditionalFormatting sqref="B167:C167">
    <cfRule type="expression" dxfId="675" priority="515">
      <formula>$B167="popup"</formula>
    </cfRule>
    <cfRule type="expression" dxfId="674" priority="516">
      <formula>$B167="switchTo"</formula>
    </cfRule>
    <cfRule type="expression" dxfId="673" priority="517">
      <formula>$B167="wait"</formula>
    </cfRule>
  </conditionalFormatting>
  <conditionalFormatting sqref="B167">
    <cfRule type="expression" dxfId="672" priority="513">
      <formula>$B167="switchTo"</formula>
    </cfRule>
    <cfRule type="expression" dxfId="671" priority="514">
      <formula>$B167="wait"</formula>
    </cfRule>
  </conditionalFormatting>
  <conditionalFormatting sqref="B160:C160">
    <cfRule type="expression" dxfId="670" priority="495">
      <formula>$B160="popup"</formula>
    </cfRule>
    <cfRule type="expression" dxfId="669" priority="496">
      <formula>$B160="switchTo"</formula>
    </cfRule>
    <cfRule type="expression" dxfId="668" priority="497">
      <formula>$B160="wait"</formula>
    </cfRule>
  </conditionalFormatting>
  <conditionalFormatting sqref="B160:C160">
    <cfRule type="expression" dxfId="667" priority="494">
      <formula>$B160="label"</formula>
    </cfRule>
  </conditionalFormatting>
  <conditionalFormatting sqref="C157">
    <cfRule type="expression" dxfId="666" priority="454">
      <formula>$B157="popup"</formula>
    </cfRule>
    <cfRule type="expression" dxfId="665" priority="455">
      <formula>$B157="switchTo"</formula>
    </cfRule>
    <cfRule type="expression" dxfId="664" priority="456">
      <formula>$B157="wait"</formula>
    </cfRule>
  </conditionalFormatting>
  <conditionalFormatting sqref="B160:C160">
    <cfRule type="expression" dxfId="663" priority="485">
      <formula>$B160="popup"</formula>
    </cfRule>
    <cfRule type="expression" dxfId="662" priority="486">
      <formula>$B160="switchTo"</formula>
    </cfRule>
    <cfRule type="expression" dxfId="661" priority="487">
      <formula>$B160="wait"</formula>
    </cfRule>
  </conditionalFormatting>
  <conditionalFormatting sqref="B160">
    <cfRule type="expression" dxfId="660" priority="483">
      <formula>$B160="switchTo"</formula>
    </cfRule>
    <cfRule type="expression" dxfId="659" priority="484">
      <formula>$B160="wait"</formula>
    </cfRule>
  </conditionalFormatting>
  <conditionalFormatting sqref="C164">
    <cfRule type="expression" dxfId="658" priority="449">
      <formula>$B164="label"</formula>
    </cfRule>
  </conditionalFormatting>
  <conditionalFormatting sqref="C164">
    <cfRule type="expression" dxfId="657" priority="450">
      <formula>$B164="popup"</formula>
    </cfRule>
    <cfRule type="expression" dxfId="656" priority="451">
      <formula>$B164="switchTo"</formula>
    </cfRule>
    <cfRule type="expression" dxfId="655" priority="452">
      <formula>$B164="wait"</formula>
    </cfRule>
  </conditionalFormatting>
  <conditionalFormatting sqref="B31 F31">
    <cfRule type="expression" dxfId="654" priority="441">
      <formula>$B31="label"</formula>
    </cfRule>
  </conditionalFormatting>
  <conditionalFormatting sqref="B31 F31">
    <cfRule type="expression" dxfId="653" priority="442">
      <formula>$B31="popup"</formula>
    </cfRule>
    <cfRule type="expression" dxfId="652" priority="443">
      <formula>$B31="switchTo"</formula>
    </cfRule>
    <cfRule type="expression" dxfId="651" priority="444">
      <formula>$B31="wait"</formula>
    </cfRule>
  </conditionalFormatting>
  <conditionalFormatting sqref="F164">
    <cfRule type="expression" dxfId="650" priority="445">
      <formula>$B164="label"</formula>
    </cfRule>
  </conditionalFormatting>
  <conditionalFormatting sqref="F164">
    <cfRule type="expression" dxfId="649" priority="446">
      <formula>$B164="popup"</formula>
    </cfRule>
    <cfRule type="expression" dxfId="648" priority="447">
      <formula>$B164="switchTo"</formula>
    </cfRule>
    <cfRule type="expression" dxfId="647" priority="448">
      <formula>$B164="wait"</formula>
    </cfRule>
  </conditionalFormatting>
  <conditionalFormatting sqref="D31">
    <cfRule type="expression" dxfId="646" priority="434">
      <formula>$B31="popup"</formula>
    </cfRule>
    <cfRule type="expression" dxfId="645" priority="435">
      <formula>$B31="switchTo"</formula>
    </cfRule>
    <cfRule type="expression" dxfId="644" priority="436">
      <formula>$B31="wait"</formula>
    </cfRule>
  </conditionalFormatting>
  <conditionalFormatting sqref="D31">
    <cfRule type="expression" dxfId="643" priority="433">
      <formula>$B31="label"</formula>
    </cfRule>
  </conditionalFormatting>
  <conditionalFormatting sqref="C31">
    <cfRule type="expression" dxfId="642" priority="426">
      <formula>$B31="popup"</formula>
    </cfRule>
    <cfRule type="expression" dxfId="641" priority="427">
      <formula>$B31="switchTo"</formula>
    </cfRule>
    <cfRule type="expression" dxfId="640" priority="428">
      <formula>$B31="wait"</formula>
    </cfRule>
  </conditionalFormatting>
  <conditionalFormatting sqref="C31">
    <cfRule type="expression" dxfId="639" priority="425">
      <formula>$B31="label"</formula>
    </cfRule>
  </conditionalFormatting>
  <conditionalFormatting sqref="B34:C34">
    <cfRule type="expression" dxfId="638" priority="430">
      <formula>$B34="popup"</formula>
    </cfRule>
    <cfRule type="expression" dxfId="637" priority="431">
      <formula>$B34="switchTo"</formula>
    </cfRule>
    <cfRule type="expression" dxfId="636" priority="432">
      <formula>$B34="wait"</formula>
    </cfRule>
  </conditionalFormatting>
  <conditionalFormatting sqref="B34:C34">
    <cfRule type="expression" dxfId="635" priority="429">
      <formula>$B34="label"</formula>
    </cfRule>
  </conditionalFormatting>
  <conditionalFormatting sqref="B30:C30">
    <cfRule type="expression" dxfId="634" priority="418">
      <formula>$B30="popup"</formula>
    </cfRule>
    <cfRule type="expression" dxfId="633" priority="419">
      <formula>$B30="switchTo"</formula>
    </cfRule>
    <cfRule type="expression" dxfId="632" priority="420">
      <formula>$B30="wait"</formula>
    </cfRule>
  </conditionalFormatting>
  <conditionalFormatting sqref="B30:C30">
    <cfRule type="expression" dxfId="631" priority="417">
      <formula>$B30="label"</formula>
    </cfRule>
  </conditionalFormatting>
  <conditionalFormatting sqref="B33">
    <cfRule type="expression" dxfId="630" priority="410">
      <formula>$B33="popup"</formula>
    </cfRule>
    <cfRule type="expression" dxfId="629" priority="411">
      <formula>$B33="switchTo"</formula>
    </cfRule>
    <cfRule type="expression" dxfId="628" priority="412">
      <formula>$B33="wait"</formula>
    </cfRule>
  </conditionalFormatting>
  <conditionalFormatting sqref="B33">
    <cfRule type="expression" dxfId="627" priority="409">
      <formula>$B33="label"</formula>
    </cfRule>
  </conditionalFormatting>
  <conditionalFormatting sqref="C33">
    <cfRule type="expression" dxfId="626" priority="406">
      <formula>$B33="popup"</formula>
    </cfRule>
    <cfRule type="expression" dxfId="625" priority="407">
      <formula>$B33="switchTo"</formula>
    </cfRule>
    <cfRule type="expression" dxfId="624" priority="408">
      <formula>$B33="wait"</formula>
    </cfRule>
  </conditionalFormatting>
  <conditionalFormatting sqref="C33">
    <cfRule type="expression" dxfId="623" priority="405">
      <formula>$B33="label"</formula>
    </cfRule>
  </conditionalFormatting>
  <conditionalFormatting sqref="E109 E79 E163 E156 E158 E138 E142:E143 E165 E86">
    <cfRule type="expression" dxfId="622" priority="401">
      <formula>$B79="switchTo"</formula>
    </cfRule>
    <cfRule type="expression" dxfId="621" priority="402">
      <formula>$B79="wait"</formula>
    </cfRule>
  </conditionalFormatting>
  <conditionalFormatting sqref="E108">
    <cfRule type="expression" dxfId="620" priority="399">
      <formula>$B108="switchTo"</formula>
    </cfRule>
    <cfRule type="expression" dxfId="619" priority="400">
      <formula>$B108="wait"</formula>
    </cfRule>
  </conditionalFormatting>
  <conditionalFormatting sqref="E80">
    <cfRule type="expression" dxfId="618" priority="397">
      <formula>$B80="switchTo"</formula>
    </cfRule>
    <cfRule type="expression" dxfId="617" priority="398">
      <formula>$B80="wait"</formula>
    </cfRule>
  </conditionalFormatting>
  <conditionalFormatting sqref="E138:E139 E158:E161 E156 E163 E165:E168 E11:E25 E38 E30 E170:E172">
    <cfRule type="expression" dxfId="616" priority="396">
      <formula>$B11="popup"</formula>
    </cfRule>
    <cfRule type="expression" dxfId="615" priority="403">
      <formula>$B11="switchTo"</formula>
    </cfRule>
    <cfRule type="expression" dxfId="614" priority="404">
      <formula>$B11="wait"</formula>
    </cfRule>
  </conditionalFormatting>
  <conditionalFormatting sqref="E147">
    <cfRule type="expression" dxfId="613" priority="390">
      <formula>$B147="popup"</formula>
    </cfRule>
    <cfRule type="expression" dxfId="612" priority="391">
      <formula>$B147="switchTo"</formula>
    </cfRule>
    <cfRule type="expression" dxfId="611" priority="392">
      <formula>$B147="wait"</formula>
    </cfRule>
  </conditionalFormatting>
  <conditionalFormatting sqref="E146">
    <cfRule type="expression" dxfId="610" priority="387">
      <formula>$B146="popup"</formula>
    </cfRule>
    <cfRule type="expression" dxfId="609" priority="388">
      <formula>$B146="switchTo"</formula>
    </cfRule>
    <cfRule type="expression" dxfId="608" priority="389">
      <formula>$B146="wait"</formula>
    </cfRule>
  </conditionalFormatting>
  <conditionalFormatting sqref="E140">
    <cfRule type="expression" dxfId="607" priority="381">
      <formula>$B140="popup"</formula>
    </cfRule>
    <cfRule type="expression" dxfId="606" priority="382">
      <formula>$B140="switchTo"</formula>
    </cfRule>
    <cfRule type="expression" dxfId="605" priority="383">
      <formula>$B140="wait"</formula>
    </cfRule>
  </conditionalFormatting>
  <conditionalFormatting sqref="E137">
    <cfRule type="expression" dxfId="604" priority="378">
      <formula>$B137="popup"</formula>
    </cfRule>
    <cfRule type="expression" dxfId="603" priority="379">
      <formula>$B137="switchTo"</formula>
    </cfRule>
    <cfRule type="expression" dxfId="602" priority="380">
      <formula>$B137="wait"</formula>
    </cfRule>
  </conditionalFormatting>
  <conditionalFormatting sqref="E165:E168 E62:E65 E11:E25 E38 E78:E113 E30 E170:E172">
    <cfRule type="expression" dxfId="601" priority="374">
      <formula>$B11="label"</formula>
    </cfRule>
  </conditionalFormatting>
  <conditionalFormatting sqref="E38">
    <cfRule type="expression" dxfId="600" priority="369">
      <formula>$B38="switchTo"</formula>
    </cfRule>
    <cfRule type="expression" dxfId="599" priority="370">
      <formula>$B38="wait"</formula>
    </cfRule>
  </conditionalFormatting>
  <conditionalFormatting sqref="E39">
    <cfRule type="expression" dxfId="598" priority="365">
      <formula>$B39="switchTo"</formula>
    </cfRule>
    <cfRule type="expression" dxfId="597" priority="366">
      <formula>$B39="wait"</formula>
    </cfRule>
  </conditionalFormatting>
  <conditionalFormatting sqref="E39">
    <cfRule type="expression" dxfId="596" priority="364">
      <formula>$B39="popup"</formula>
    </cfRule>
    <cfRule type="expression" dxfId="595" priority="367">
      <formula>$B39="switchTo"</formula>
    </cfRule>
    <cfRule type="expression" dxfId="594" priority="368">
      <formula>$B39="wait"</formula>
    </cfRule>
  </conditionalFormatting>
  <conditionalFormatting sqref="E39">
    <cfRule type="expression" dxfId="593" priority="363">
      <formula>$B39="label"</formula>
    </cfRule>
  </conditionalFormatting>
  <conditionalFormatting sqref="E157">
    <cfRule type="expression" dxfId="592" priority="360">
      <formula>$B157="popup"</formula>
    </cfRule>
    <cfRule type="expression" dxfId="591" priority="361">
      <formula>$B157="switchTo"</formula>
    </cfRule>
    <cfRule type="expression" dxfId="590" priority="362">
      <formula>$B157="wait"</formula>
    </cfRule>
  </conditionalFormatting>
  <conditionalFormatting sqref="E155">
    <cfRule type="expression" dxfId="589" priority="357">
      <formula>$B155="popup"</formula>
    </cfRule>
    <cfRule type="expression" dxfId="588" priority="358">
      <formula>$B155="switchTo"</formula>
    </cfRule>
    <cfRule type="expression" dxfId="587" priority="359">
      <formula>$B155="wait"</formula>
    </cfRule>
  </conditionalFormatting>
  <conditionalFormatting sqref="E162">
    <cfRule type="expression" dxfId="586" priority="354">
      <formula>$B162="popup"</formula>
    </cfRule>
    <cfRule type="expression" dxfId="585" priority="355">
      <formula>$B162="switchTo"</formula>
    </cfRule>
    <cfRule type="expression" dxfId="584" priority="356">
      <formula>$B162="wait"</formula>
    </cfRule>
  </conditionalFormatting>
  <conditionalFormatting sqref="E31">
    <cfRule type="expression" dxfId="583" priority="340">
      <formula>$B31="label"</formula>
    </cfRule>
  </conditionalFormatting>
  <conditionalFormatting sqref="E31">
    <cfRule type="expression" dxfId="582" priority="341">
      <formula>$B31="popup"</formula>
    </cfRule>
    <cfRule type="expression" dxfId="581" priority="342">
      <formula>$B31="switchTo"</formula>
    </cfRule>
    <cfRule type="expression" dxfId="580" priority="343">
      <formula>$B31="wait"</formula>
    </cfRule>
  </conditionalFormatting>
  <conditionalFormatting sqref="E164">
    <cfRule type="expression" dxfId="579" priority="344">
      <formula>$B164="label"</formula>
    </cfRule>
  </conditionalFormatting>
  <conditionalFormatting sqref="E164">
    <cfRule type="expression" dxfId="578" priority="345">
      <formula>$B164="popup"</formula>
    </cfRule>
    <cfRule type="expression" dxfId="577" priority="346">
      <formula>$B164="switchTo"</formula>
    </cfRule>
    <cfRule type="expression" dxfId="576" priority="347">
      <formula>$B164="wait"</formula>
    </cfRule>
  </conditionalFormatting>
  <conditionalFormatting sqref="B42:B61">
    <cfRule type="expression" dxfId="575" priority="315">
      <formula>$B42="switchTo"</formula>
    </cfRule>
    <cfRule type="expression" dxfId="574" priority="316">
      <formula>$B42="wait"</formula>
    </cfRule>
  </conditionalFormatting>
  <conditionalFormatting sqref="E42:E61">
    <cfRule type="expression" dxfId="573" priority="313">
      <formula>$B42="label"</formula>
    </cfRule>
  </conditionalFormatting>
  <conditionalFormatting sqref="E77">
    <cfRule type="expression" dxfId="572" priority="327">
      <formula>$B77="label"</formula>
    </cfRule>
  </conditionalFormatting>
  <conditionalFormatting sqref="D99">
    <cfRule type="expression" dxfId="571" priority="324">
      <formula>$B99="switchTo"</formula>
    </cfRule>
    <cfRule type="expression" dxfId="570" priority="325">
      <formula>$B99="wait"</formula>
    </cfRule>
  </conditionalFormatting>
  <conditionalFormatting sqref="F42:F61 B42:D61">
    <cfRule type="expression" dxfId="569" priority="323">
      <formula>$B42="label"</formula>
    </cfRule>
  </conditionalFormatting>
  <conditionalFormatting sqref="C42:C61">
    <cfRule type="expression" dxfId="568" priority="319">
      <formula>$B42="switchTo"</formula>
    </cfRule>
    <cfRule type="expression" dxfId="567" priority="320">
      <formula>$B42="wait"</formula>
    </cfRule>
  </conditionalFormatting>
  <conditionalFormatting sqref="D42:D61">
    <cfRule type="expression" dxfId="566" priority="317">
      <formula>$B42="switchTo"</formula>
    </cfRule>
    <cfRule type="expression" dxfId="565" priority="318">
      <formula>$B42="wait"</formula>
    </cfRule>
  </conditionalFormatting>
  <conditionalFormatting sqref="D66:D71">
    <cfRule type="expression" dxfId="564" priority="306">
      <formula>$B66="switchTo"</formula>
    </cfRule>
    <cfRule type="expression" dxfId="563" priority="307">
      <formula>$B66="wait"</formula>
    </cfRule>
  </conditionalFormatting>
  <conditionalFormatting sqref="B42:D61">
    <cfRule type="expression" dxfId="562" priority="314">
      <formula>$B42="popup"</formula>
    </cfRule>
    <cfRule type="expression" dxfId="561" priority="321">
      <formula>$B42="switchTo"</formula>
    </cfRule>
    <cfRule type="expression" dxfId="560" priority="322">
      <formula>$B42="wait"</formula>
    </cfRule>
  </conditionalFormatting>
  <conditionalFormatting sqref="E66:E71">
    <cfRule type="expression" dxfId="559" priority="304">
      <formula>$B66="label"</formula>
    </cfRule>
  </conditionalFormatting>
  <conditionalFormatting sqref="B66:D71 F66:F71">
    <cfRule type="expression" dxfId="558" priority="312">
      <formula>$B66="label"</formula>
    </cfRule>
  </conditionalFormatting>
  <conditionalFormatting sqref="D66:D71">
    <cfRule type="expression" dxfId="557" priority="308">
      <formula>$B66="switchTo"</formula>
    </cfRule>
    <cfRule type="expression" dxfId="556" priority="309">
      <formula>$B66="wait"</formula>
    </cfRule>
  </conditionalFormatting>
  <conditionalFormatting sqref="B66:D71">
    <cfRule type="expression" dxfId="555" priority="305">
      <formula>$B66="popup"</formula>
    </cfRule>
    <cfRule type="expression" dxfId="554" priority="310">
      <formula>$B66="switchTo"</formula>
    </cfRule>
    <cfRule type="expression" dxfId="553" priority="311">
      <formula>$B66="wait"</formula>
    </cfRule>
  </conditionalFormatting>
  <conditionalFormatting sqref="B40">
    <cfRule type="expression" dxfId="552" priority="295">
      <formula>$B40="switchTo"</formula>
    </cfRule>
    <cfRule type="expression" dxfId="551" priority="296">
      <formula>$B40="wait"</formula>
    </cfRule>
  </conditionalFormatting>
  <conditionalFormatting sqref="F40 B40:D40">
    <cfRule type="expression" dxfId="550" priority="303">
      <formula>$B40="label"</formula>
    </cfRule>
  </conditionalFormatting>
  <conditionalFormatting sqref="C40">
    <cfRule type="expression" dxfId="549" priority="299">
      <formula>$B40="switchTo"</formula>
    </cfRule>
    <cfRule type="expression" dxfId="548" priority="300">
      <formula>$B40="wait"</formula>
    </cfRule>
  </conditionalFormatting>
  <conditionalFormatting sqref="D40">
    <cfRule type="expression" dxfId="547" priority="297">
      <formula>$B40="switchTo"</formula>
    </cfRule>
    <cfRule type="expression" dxfId="546" priority="298">
      <formula>$B40="wait"</formula>
    </cfRule>
  </conditionalFormatting>
  <conditionalFormatting sqref="B40:D40">
    <cfRule type="expression" dxfId="545" priority="294">
      <formula>$B40="popup"</formula>
    </cfRule>
    <cfRule type="expression" dxfId="544" priority="301">
      <formula>$B40="switchTo"</formula>
    </cfRule>
    <cfRule type="expression" dxfId="543" priority="302">
      <formula>$B40="wait"</formula>
    </cfRule>
  </conditionalFormatting>
  <conditionalFormatting sqref="B41">
    <cfRule type="expression" dxfId="542" priority="276">
      <formula>$B41="switchTo"</formula>
    </cfRule>
    <cfRule type="expression" dxfId="541" priority="277">
      <formula>$B41="wait"</formula>
    </cfRule>
  </conditionalFormatting>
  <conditionalFormatting sqref="E41">
    <cfRule type="expression" dxfId="540" priority="274">
      <formula>$B41="label"</formula>
    </cfRule>
  </conditionalFormatting>
  <conditionalFormatting sqref="F41 B41:D41">
    <cfRule type="expression" dxfId="539" priority="284">
      <formula>$B41="label"</formula>
    </cfRule>
  </conditionalFormatting>
  <conditionalFormatting sqref="C41">
    <cfRule type="expression" dxfId="538" priority="280">
      <formula>$B41="switchTo"</formula>
    </cfRule>
    <cfRule type="expression" dxfId="537" priority="281">
      <formula>$B41="wait"</formula>
    </cfRule>
  </conditionalFormatting>
  <conditionalFormatting sqref="D41">
    <cfRule type="expression" dxfId="536" priority="278">
      <formula>$B41="switchTo"</formula>
    </cfRule>
    <cfRule type="expression" dxfId="535" priority="279">
      <formula>$B41="wait"</formula>
    </cfRule>
  </conditionalFormatting>
  <conditionalFormatting sqref="B41:D41">
    <cfRule type="expression" dxfId="534" priority="275">
      <formula>$B41="popup"</formula>
    </cfRule>
    <cfRule type="expression" dxfId="533" priority="282">
      <formula>$B41="switchTo"</formula>
    </cfRule>
    <cfRule type="expression" dxfId="532" priority="283">
      <formula>$B41="wait"</formula>
    </cfRule>
  </conditionalFormatting>
  <conditionalFormatting sqref="B32:D32 F32">
    <cfRule type="expression" dxfId="531" priority="271">
      <formula>$B32="popup"</formula>
    </cfRule>
    <cfRule type="expression" dxfId="530" priority="272">
      <formula>$B32="switchTo"</formula>
    </cfRule>
    <cfRule type="expression" dxfId="529" priority="273">
      <formula>$B32="wait"</formula>
    </cfRule>
  </conditionalFormatting>
  <conditionalFormatting sqref="B32:D32 F32">
    <cfRule type="expression" dxfId="528" priority="270">
      <formula>$B32="label"</formula>
    </cfRule>
  </conditionalFormatting>
  <conditionalFormatting sqref="E32">
    <cfRule type="expression" dxfId="527" priority="267">
      <formula>$B32="popup"</formula>
    </cfRule>
    <cfRule type="expression" dxfId="526" priority="268">
      <formula>$B32="switchTo"</formula>
    </cfRule>
    <cfRule type="expression" dxfId="525" priority="269">
      <formula>$B32="wait"</formula>
    </cfRule>
  </conditionalFormatting>
  <conditionalFormatting sqref="E32">
    <cfRule type="expression" dxfId="524" priority="266">
      <formula>$B32="label"</formula>
    </cfRule>
  </conditionalFormatting>
  <conditionalFormatting sqref="B133:D133 F133">
    <cfRule type="expression" dxfId="523" priority="263">
      <formula>$B133="popup"</formula>
    </cfRule>
    <cfRule type="expression" dxfId="522" priority="264">
      <formula>$B133="switchTo"</formula>
    </cfRule>
    <cfRule type="expression" dxfId="521" priority="265">
      <formula>$B133="wait"</formula>
    </cfRule>
  </conditionalFormatting>
  <conditionalFormatting sqref="B133:D133 F133">
    <cfRule type="expression" dxfId="520" priority="262">
      <formula>$B133="label"</formula>
    </cfRule>
  </conditionalFormatting>
  <conditionalFormatting sqref="E133">
    <cfRule type="expression" dxfId="519" priority="259">
      <formula>$B133="popup"</formula>
    </cfRule>
    <cfRule type="expression" dxfId="518" priority="260">
      <formula>$B133="switchTo"</formula>
    </cfRule>
    <cfRule type="expression" dxfId="517" priority="261">
      <formula>$B133="wait"</formula>
    </cfRule>
  </conditionalFormatting>
  <conditionalFormatting sqref="E133">
    <cfRule type="expression" dxfId="516" priority="258">
      <formula>$B133="label"</formula>
    </cfRule>
  </conditionalFormatting>
  <conditionalFormatting sqref="E37">
    <cfRule type="expression" dxfId="515" priority="255">
      <formula>$B37="popup"</formula>
    </cfRule>
    <cfRule type="expression" dxfId="514" priority="256">
      <formula>$B37="switchTo"</formula>
    </cfRule>
    <cfRule type="expression" dxfId="513" priority="257">
      <formula>$B37="wait"</formula>
    </cfRule>
  </conditionalFormatting>
  <conditionalFormatting sqref="E37">
    <cfRule type="expression" dxfId="512" priority="254">
      <formula>$B37="label"</formula>
    </cfRule>
  </conditionalFormatting>
  <conditionalFormatting sqref="E37">
    <cfRule type="expression" dxfId="511" priority="252">
      <formula>$B37="switchTo"</formula>
    </cfRule>
    <cfRule type="expression" dxfId="510" priority="253">
      <formula>$B37="wait"</formula>
    </cfRule>
  </conditionalFormatting>
  <conditionalFormatting sqref="E40">
    <cfRule type="expression" dxfId="509" priority="249">
      <formula>$B40="popup"</formula>
    </cfRule>
    <cfRule type="expression" dxfId="508" priority="250">
      <formula>$B40="switchTo"</formula>
    </cfRule>
    <cfRule type="expression" dxfId="507" priority="251">
      <formula>$B40="wait"</formula>
    </cfRule>
  </conditionalFormatting>
  <conditionalFormatting sqref="E40">
    <cfRule type="expression" dxfId="506" priority="248">
      <formula>$B40="label"</formula>
    </cfRule>
  </conditionalFormatting>
  <conditionalFormatting sqref="F27:F29 B27:D29">
    <cfRule type="expression" dxfId="505" priority="245">
      <formula>$B27="popup"</formula>
    </cfRule>
    <cfRule type="expression" dxfId="504" priority="246">
      <formula>$B27="switchTo"</formula>
    </cfRule>
    <cfRule type="expression" dxfId="503" priority="247">
      <formula>$B27="wait"</formula>
    </cfRule>
  </conditionalFormatting>
  <conditionalFormatting sqref="F27:F29 B27:D29">
    <cfRule type="expression" dxfId="502" priority="244">
      <formula>$B27="label"</formula>
    </cfRule>
  </conditionalFormatting>
  <conditionalFormatting sqref="E27:E29">
    <cfRule type="expression" dxfId="501" priority="241">
      <formula>$B27="popup"</formula>
    </cfRule>
    <cfRule type="expression" dxfId="500" priority="242">
      <formula>$B27="switchTo"</formula>
    </cfRule>
    <cfRule type="expression" dxfId="499" priority="243">
      <formula>$B27="wait"</formula>
    </cfRule>
  </conditionalFormatting>
  <conditionalFormatting sqref="E27:E29">
    <cfRule type="expression" dxfId="498" priority="240">
      <formula>$B27="label"</formula>
    </cfRule>
  </conditionalFormatting>
  <conditionalFormatting sqref="D26 F26">
    <cfRule type="expression" dxfId="497" priority="229">
      <formula>$B26="popup"</formula>
    </cfRule>
    <cfRule type="expression" dxfId="496" priority="230">
      <formula>$B26="switchTo"</formula>
    </cfRule>
    <cfRule type="expression" dxfId="495" priority="231">
      <formula>$B26="wait"</formula>
    </cfRule>
  </conditionalFormatting>
  <conditionalFormatting sqref="D26 F26">
    <cfRule type="expression" dxfId="494" priority="228">
      <formula>$B26="label"</formula>
    </cfRule>
  </conditionalFormatting>
  <conditionalFormatting sqref="B26:C26">
    <cfRule type="expression" dxfId="493" priority="225">
      <formula>$B26="popup"</formula>
    </cfRule>
    <cfRule type="expression" dxfId="492" priority="226">
      <formula>$B26="switchTo"</formula>
    </cfRule>
    <cfRule type="expression" dxfId="491" priority="227">
      <formula>$B26="wait"</formula>
    </cfRule>
  </conditionalFormatting>
  <conditionalFormatting sqref="B26:C26">
    <cfRule type="expression" dxfId="490" priority="224">
      <formula>$B26="label"</formula>
    </cfRule>
  </conditionalFormatting>
  <conditionalFormatting sqref="E26">
    <cfRule type="expression" dxfId="489" priority="221">
      <formula>$B26="popup"</formula>
    </cfRule>
    <cfRule type="expression" dxfId="488" priority="222">
      <formula>$B26="switchTo"</formula>
    </cfRule>
    <cfRule type="expression" dxfId="487" priority="223">
      <formula>$B26="wait"</formula>
    </cfRule>
  </conditionalFormatting>
  <conditionalFormatting sqref="E26">
    <cfRule type="expression" dxfId="486" priority="220">
      <formula>$B26="label"</formula>
    </cfRule>
  </conditionalFormatting>
  <conditionalFormatting sqref="B115:D115 F115">
    <cfRule type="expression" dxfId="485" priority="191">
      <formula>$B115="popup"</formula>
    </cfRule>
    <cfRule type="expression" dxfId="484" priority="192">
      <formula>$B115="switchTo"</formula>
    </cfRule>
    <cfRule type="expression" dxfId="483" priority="193">
      <formula>$B115="wait"</formula>
    </cfRule>
  </conditionalFormatting>
  <conditionalFormatting sqref="F115 B115:D115">
    <cfRule type="expression" dxfId="482" priority="190">
      <formula>$B115="label"</formula>
    </cfRule>
  </conditionalFormatting>
  <conditionalFormatting sqref="E115">
    <cfRule type="expression" dxfId="481" priority="187">
      <formula>$B115="popup"</formula>
    </cfRule>
    <cfRule type="expression" dxfId="480" priority="188">
      <formula>$B115="switchTo"</formula>
    </cfRule>
    <cfRule type="expression" dxfId="479" priority="189">
      <formula>$B115="wait"</formula>
    </cfRule>
  </conditionalFormatting>
  <conditionalFormatting sqref="E115">
    <cfRule type="expression" dxfId="478" priority="186">
      <formula>$B115="label"</formula>
    </cfRule>
  </conditionalFormatting>
  <conditionalFormatting sqref="D117 F117">
    <cfRule type="expression" dxfId="477" priority="185">
      <formula>$B117="label"</formula>
    </cfRule>
  </conditionalFormatting>
  <conditionalFormatting sqref="B117 D117">
    <cfRule type="expression" dxfId="476" priority="182">
      <formula>$B117="popup"</formula>
    </cfRule>
    <cfRule type="expression" dxfId="475" priority="183">
      <formula>$B117="switchTo"</formula>
    </cfRule>
    <cfRule type="expression" dxfId="474" priority="184">
      <formula>$B117="wait"</formula>
    </cfRule>
  </conditionalFormatting>
  <conditionalFormatting sqref="F117">
    <cfRule type="expression" dxfId="473" priority="179">
      <formula>$B117="popup"</formula>
    </cfRule>
    <cfRule type="expression" dxfId="472" priority="180">
      <formula>$B117="switchTo"</formula>
    </cfRule>
    <cfRule type="expression" dxfId="471" priority="181">
      <formula>$B117="wait"</formula>
    </cfRule>
  </conditionalFormatting>
  <conditionalFormatting sqref="B117">
    <cfRule type="expression" dxfId="470" priority="178">
      <formula>$B117="label"</formula>
    </cfRule>
  </conditionalFormatting>
  <conditionalFormatting sqref="C117">
    <cfRule type="expression" dxfId="469" priority="175">
      <formula>$B117="popup"</formula>
    </cfRule>
    <cfRule type="expression" dxfId="468" priority="176">
      <formula>$B117="switchTo"</formula>
    </cfRule>
    <cfRule type="expression" dxfId="467" priority="177">
      <formula>$B117="wait"</formula>
    </cfRule>
  </conditionalFormatting>
  <conditionalFormatting sqref="C117">
    <cfRule type="expression" dxfId="466" priority="174">
      <formula>$B117="label"</formula>
    </cfRule>
  </conditionalFormatting>
  <conditionalFormatting sqref="E117">
    <cfRule type="expression" dxfId="465" priority="173">
      <formula>$B117="label"</formula>
    </cfRule>
  </conditionalFormatting>
  <conditionalFormatting sqref="E117">
    <cfRule type="expression" dxfId="464" priority="170">
      <formula>$B117="popup"</formula>
    </cfRule>
    <cfRule type="expression" dxfId="463" priority="171">
      <formula>$B117="switchTo"</formula>
    </cfRule>
    <cfRule type="expression" dxfId="462" priority="172">
      <formula>$B117="wait"</formula>
    </cfRule>
  </conditionalFormatting>
  <conditionalFormatting sqref="B148 D150">
    <cfRule type="expression" dxfId="461" priority="166">
      <formula>$B148="switchTo"</formula>
    </cfRule>
    <cfRule type="expression" dxfId="460" priority="167">
      <formula>$B148="wait"</formula>
    </cfRule>
  </conditionalFormatting>
  <conditionalFormatting sqref="B148:F148 B150:F150">
    <cfRule type="expression" dxfId="459" priority="165">
      <formula>$B148="popup"</formula>
    </cfRule>
    <cfRule type="expression" dxfId="458" priority="168">
      <formula>$B148="switchTo"</formula>
    </cfRule>
    <cfRule type="expression" dxfId="457" priority="169">
      <formula>$B148="wait"</formula>
    </cfRule>
  </conditionalFormatting>
  <conditionalFormatting sqref="B148:F148 B150:F150">
    <cfRule type="expression" dxfId="456" priority="164">
      <formula>$B148="label"</formula>
    </cfRule>
  </conditionalFormatting>
  <conditionalFormatting sqref="B149:D149 F149">
    <cfRule type="expression" dxfId="455" priority="161">
      <formula>$B149="popup"</formula>
    </cfRule>
    <cfRule type="expression" dxfId="454" priority="162">
      <formula>$B149="switchTo"</formula>
    </cfRule>
    <cfRule type="expression" dxfId="453" priority="163">
      <formula>$B149="wait"</formula>
    </cfRule>
  </conditionalFormatting>
  <conditionalFormatting sqref="F149 B149:D149">
    <cfRule type="expression" dxfId="452" priority="160">
      <formula>$B149="label"</formula>
    </cfRule>
  </conditionalFormatting>
  <conditionalFormatting sqref="E149">
    <cfRule type="expression" dxfId="451" priority="157">
      <formula>$B149="popup"</formula>
    </cfRule>
    <cfRule type="expression" dxfId="450" priority="158">
      <formula>$B149="switchTo"</formula>
    </cfRule>
    <cfRule type="expression" dxfId="449" priority="159">
      <formula>$B149="wait"</formula>
    </cfRule>
  </conditionalFormatting>
  <conditionalFormatting sqref="E149">
    <cfRule type="expression" dxfId="448" priority="156">
      <formula>$B149="label"</formula>
    </cfRule>
  </conditionalFormatting>
  <conditionalFormatting sqref="F121">
    <cfRule type="expression" dxfId="447" priority="84">
      <formula>$B121="popup"</formula>
    </cfRule>
    <cfRule type="expression" dxfId="446" priority="85">
      <formula>$B121="switchTo"</formula>
    </cfRule>
    <cfRule type="expression" dxfId="445" priority="86">
      <formula>$B121="wait"</formula>
    </cfRule>
  </conditionalFormatting>
  <conditionalFormatting sqref="B121">
    <cfRule type="expression" dxfId="444" priority="83">
      <formula>$B121="label"</formula>
    </cfRule>
  </conditionalFormatting>
  <conditionalFormatting sqref="D121 F121">
    <cfRule type="expression" dxfId="443" priority="90">
      <formula>$B121="label"</formula>
    </cfRule>
  </conditionalFormatting>
  <conditionalFormatting sqref="B121 D121">
    <cfRule type="expression" dxfId="442" priority="87">
      <formula>$B121="popup"</formula>
    </cfRule>
    <cfRule type="expression" dxfId="441" priority="88">
      <formula>$B121="switchTo"</formula>
    </cfRule>
    <cfRule type="expression" dxfId="440" priority="89">
      <formula>$B121="wait"</formula>
    </cfRule>
  </conditionalFormatting>
  <conditionalFormatting sqref="E121">
    <cfRule type="expression" dxfId="439" priority="78">
      <formula>$B121="label"</formula>
    </cfRule>
  </conditionalFormatting>
  <conditionalFormatting sqref="E121">
    <cfRule type="expression" dxfId="438" priority="75">
      <formula>$B121="popup"</formula>
    </cfRule>
    <cfRule type="expression" dxfId="437" priority="76">
      <formula>$B121="switchTo"</formula>
    </cfRule>
    <cfRule type="expression" dxfId="436" priority="77">
      <formula>$B121="wait"</formula>
    </cfRule>
  </conditionalFormatting>
  <conditionalFormatting sqref="C121">
    <cfRule type="expression" dxfId="435" priority="72">
      <formula>$B121="popup"</formula>
    </cfRule>
    <cfRule type="expression" dxfId="434" priority="73">
      <formula>$B121="switchTo"</formula>
    </cfRule>
    <cfRule type="expression" dxfId="433" priority="74">
      <formula>$B121="wait"</formula>
    </cfRule>
  </conditionalFormatting>
  <conditionalFormatting sqref="C121">
    <cfRule type="expression" dxfId="432" priority="71">
      <formula>$B121="label"</formula>
    </cfRule>
  </conditionalFormatting>
  <conditionalFormatting sqref="D122 F122">
    <cfRule type="expression" dxfId="431" priority="70">
      <formula>$B122="label"</formula>
    </cfRule>
  </conditionalFormatting>
  <conditionalFormatting sqref="B122 D122">
    <cfRule type="expression" dxfId="430" priority="67">
      <formula>$B122="popup"</formula>
    </cfRule>
    <cfRule type="expression" dxfId="429" priority="68">
      <formula>$B122="switchTo"</formula>
    </cfRule>
    <cfRule type="expression" dxfId="428" priority="69">
      <formula>$B122="wait"</formula>
    </cfRule>
  </conditionalFormatting>
  <conditionalFormatting sqref="F122">
    <cfRule type="expression" dxfId="427" priority="64">
      <formula>$B122="popup"</formula>
    </cfRule>
    <cfRule type="expression" dxfId="426" priority="65">
      <formula>$B122="switchTo"</formula>
    </cfRule>
    <cfRule type="expression" dxfId="425" priority="66">
      <formula>$B122="wait"</formula>
    </cfRule>
  </conditionalFormatting>
  <conditionalFormatting sqref="B122">
    <cfRule type="expression" dxfId="424" priority="63">
      <formula>$B122="label"</formula>
    </cfRule>
  </conditionalFormatting>
  <conditionalFormatting sqref="E122">
    <cfRule type="expression" dxfId="423" priority="62">
      <formula>$B122="label"</formula>
    </cfRule>
  </conditionalFormatting>
  <conditionalFormatting sqref="E122">
    <cfRule type="expression" dxfId="422" priority="59">
      <formula>$B122="popup"</formula>
    </cfRule>
    <cfRule type="expression" dxfId="421" priority="60">
      <formula>$B122="switchTo"</formula>
    </cfRule>
    <cfRule type="expression" dxfId="420" priority="61">
      <formula>$B122="wait"</formula>
    </cfRule>
  </conditionalFormatting>
  <conditionalFormatting sqref="C122">
    <cfRule type="expression" dxfId="419" priority="56">
      <formula>$B122="popup"</formula>
    </cfRule>
    <cfRule type="expression" dxfId="418" priority="57">
      <formula>$B122="switchTo"</formula>
    </cfRule>
    <cfRule type="expression" dxfId="417" priority="58">
      <formula>$B122="wait"</formula>
    </cfRule>
  </conditionalFormatting>
  <conditionalFormatting sqref="C122">
    <cfRule type="expression" dxfId="416" priority="55">
      <formula>$B122="label"</formula>
    </cfRule>
  </conditionalFormatting>
  <conditionalFormatting sqref="D118:F120">
    <cfRule type="expression" dxfId="415" priority="52">
      <formula>$B118="popup"</formula>
    </cfRule>
    <cfRule type="expression" dxfId="414" priority="53">
      <formula>$B118="switchTo"</formula>
    </cfRule>
    <cfRule type="expression" dxfId="413" priority="54">
      <formula>$B118="wait"</formula>
    </cfRule>
  </conditionalFormatting>
  <conditionalFormatting sqref="D118:F120">
    <cfRule type="expression" dxfId="412" priority="51">
      <formula>$B118="label"</formula>
    </cfRule>
  </conditionalFormatting>
  <conditionalFormatting sqref="B118">
    <cfRule type="expression" dxfId="411" priority="48">
      <formula>$B118="popup"</formula>
    </cfRule>
    <cfRule type="expression" dxfId="410" priority="49">
      <formula>$B118="switchTo"</formula>
    </cfRule>
    <cfRule type="expression" dxfId="409" priority="50">
      <formula>$B118="wait"</formula>
    </cfRule>
  </conditionalFormatting>
  <conditionalFormatting sqref="B118">
    <cfRule type="expression" dxfId="408" priority="47">
      <formula>$B118="label"</formula>
    </cfRule>
  </conditionalFormatting>
  <conditionalFormatting sqref="C118">
    <cfRule type="expression" dxfId="407" priority="44">
      <formula>$B118="popup"</formula>
    </cfRule>
    <cfRule type="expression" dxfId="406" priority="45">
      <formula>$B118="switchTo"</formula>
    </cfRule>
    <cfRule type="expression" dxfId="405" priority="46">
      <formula>$B118="wait"</formula>
    </cfRule>
  </conditionalFormatting>
  <conditionalFormatting sqref="C118">
    <cfRule type="expression" dxfId="404" priority="43">
      <formula>$B118="label"</formula>
    </cfRule>
  </conditionalFormatting>
  <conditionalFormatting sqref="B119:C120">
    <cfRule type="expression" dxfId="403" priority="40">
      <formula>$B119="popup"</formula>
    </cfRule>
    <cfRule type="expression" dxfId="402" priority="41">
      <formula>$B119="switchTo"</formula>
    </cfRule>
    <cfRule type="expression" dxfId="401" priority="42">
      <formula>$B119="wait"</formula>
    </cfRule>
  </conditionalFormatting>
  <conditionalFormatting sqref="B119:C120">
    <cfRule type="expression" dxfId="400" priority="39">
      <formula>$B119="label"</formula>
    </cfRule>
  </conditionalFormatting>
  <conditionalFormatting sqref="D151:F151">
    <cfRule type="expression" dxfId="399" priority="36">
      <formula>$B151="popup"</formula>
    </cfRule>
    <cfRule type="expression" dxfId="398" priority="37">
      <formula>$B151="switchTo"</formula>
    </cfRule>
    <cfRule type="expression" dxfId="397" priority="38">
      <formula>$B151="wait"</formula>
    </cfRule>
  </conditionalFormatting>
  <conditionalFormatting sqref="D151:F151">
    <cfRule type="expression" dxfId="396" priority="35">
      <formula>$B151="label"</formula>
    </cfRule>
  </conditionalFormatting>
  <conditionalFormatting sqref="B151">
    <cfRule type="expression" dxfId="395" priority="32">
      <formula>$B151="popup"</formula>
    </cfRule>
    <cfRule type="expression" dxfId="394" priority="33">
      <formula>$B151="switchTo"</formula>
    </cfRule>
    <cfRule type="expression" dxfId="393" priority="34">
      <formula>$B151="wait"</formula>
    </cfRule>
  </conditionalFormatting>
  <conditionalFormatting sqref="B151">
    <cfRule type="expression" dxfId="392" priority="31">
      <formula>$B151="label"</formula>
    </cfRule>
  </conditionalFormatting>
  <conditionalFormatting sqref="C151">
    <cfRule type="expression" dxfId="391" priority="28">
      <formula>$B151="popup"</formula>
    </cfRule>
    <cfRule type="expression" dxfId="390" priority="29">
      <formula>$B151="switchTo"</formula>
    </cfRule>
    <cfRule type="expression" dxfId="389" priority="30">
      <formula>$B151="wait"</formula>
    </cfRule>
  </conditionalFormatting>
  <conditionalFormatting sqref="C151">
    <cfRule type="expression" dxfId="388" priority="27">
      <formula>$B151="label"</formula>
    </cfRule>
  </conditionalFormatting>
  <conditionalFormatting sqref="D152:F152">
    <cfRule type="expression" dxfId="387" priority="24">
      <formula>$B152="popup"</formula>
    </cfRule>
    <cfRule type="expression" dxfId="386" priority="25">
      <formula>$B152="switchTo"</formula>
    </cfRule>
    <cfRule type="expression" dxfId="385" priority="26">
      <formula>$B152="wait"</formula>
    </cfRule>
  </conditionalFormatting>
  <conditionalFormatting sqref="D152:F152">
    <cfRule type="expression" dxfId="384" priority="23">
      <formula>$B152="label"</formula>
    </cfRule>
  </conditionalFormatting>
  <conditionalFormatting sqref="C152">
    <cfRule type="expression" dxfId="383" priority="20">
      <formula>$B152="popup"</formula>
    </cfRule>
    <cfRule type="expression" dxfId="382" priority="21">
      <formula>$B152="switchTo"</formula>
    </cfRule>
    <cfRule type="expression" dxfId="381" priority="22">
      <formula>$B152="wait"</formula>
    </cfRule>
  </conditionalFormatting>
  <conditionalFormatting sqref="C152">
    <cfRule type="expression" dxfId="380" priority="19">
      <formula>$B152="label"</formula>
    </cfRule>
  </conditionalFormatting>
  <conditionalFormatting sqref="B152">
    <cfRule type="expression" dxfId="379" priority="16">
      <formula>$B152="popup"</formula>
    </cfRule>
    <cfRule type="expression" dxfId="378" priority="17">
      <formula>$B152="switchTo"</formula>
    </cfRule>
    <cfRule type="expression" dxfId="377" priority="18">
      <formula>$B152="wait"</formula>
    </cfRule>
  </conditionalFormatting>
  <conditionalFormatting sqref="B152">
    <cfRule type="expression" dxfId="376" priority="15">
      <formula>$B152="label"</formula>
    </cfRule>
  </conditionalFormatting>
  <conditionalFormatting sqref="D169 F169">
    <cfRule type="expression" dxfId="375" priority="12">
      <formula>$B169="popup"</formula>
    </cfRule>
    <cfRule type="expression" dxfId="374" priority="13">
      <formula>$B169="switchTo"</formula>
    </cfRule>
    <cfRule type="expression" dxfId="373" priority="14">
      <formula>$B169="wait"</formula>
    </cfRule>
  </conditionalFormatting>
  <conditionalFormatting sqref="B169">
    <cfRule type="expression" dxfId="372" priority="9">
      <formula>$B169="popup"</formula>
    </cfRule>
    <cfRule type="expression" dxfId="371" priority="10">
      <formula>$B169="switchTo"</formula>
    </cfRule>
    <cfRule type="expression" dxfId="370" priority="11">
      <formula>$B169="wait"</formula>
    </cfRule>
  </conditionalFormatting>
  <conditionalFormatting sqref="C169">
    <cfRule type="expression" dxfId="369" priority="6">
      <formula>$B169="popup"</formula>
    </cfRule>
    <cfRule type="expression" dxfId="368" priority="7">
      <formula>$B169="switchTo"</formula>
    </cfRule>
    <cfRule type="expression" dxfId="367" priority="8">
      <formula>$B169="wait"</formula>
    </cfRule>
  </conditionalFormatting>
  <conditionalFormatting sqref="F169 B169:D169">
    <cfRule type="expression" dxfId="366" priority="5">
      <formula>$B169="label"</formula>
    </cfRule>
  </conditionalFormatting>
  <conditionalFormatting sqref="E169">
    <cfRule type="expression" dxfId="365" priority="2">
      <formula>$B169="popup"</formula>
    </cfRule>
    <cfRule type="expression" dxfId="364" priority="3">
      <formula>$B169="switchTo"</formula>
    </cfRule>
    <cfRule type="expression" dxfId="363" priority="4">
      <formula>$B169="wait"</formula>
    </cfRule>
  </conditionalFormatting>
  <conditionalFormatting sqref="E169">
    <cfRule type="expression" dxfId="362" priority="1">
      <formula>$B169="label"</formula>
    </cfRule>
  </conditionalFormatting>
  <hyperlinks>
    <hyperlink ref="C20" r:id="rId1"/>
    <hyperlink ref="C171" r:id="rId2"/>
    <hyperlink ref="C136" r:id="rId3"/>
    <hyperlink ref="C134" r:id="rId4"/>
    <hyperlink ref="C154" r:id="rId5"/>
  </hyperlinks>
  <pageMargins left="0.7" right="0.7" top="0.75" bottom="0.75" header="0.3" footer="0.3"/>
  <pageSetup paperSize="9" orientation="portrait" r:id="rId6"/>
  <drawing r:id="rId7"/>
  <legacyDrawing r:id="rId8"/>
  <controls>
    <mc:AlternateContent xmlns:mc="http://schemas.openxmlformats.org/markup-compatibility/2006">
      <mc:Choice Requires="x14">
        <control shapeId="4097" r:id="rId9" name="btnExportYML">
          <controlPr defaultSize="0" autoLine="0" r:id="rId10">
            <anchor moveWithCells="1">
              <from>
                <xdr:col>2</xdr:col>
                <xdr:colOff>1552575</xdr:colOff>
                <xdr:row>1</xdr:row>
                <xdr:rowOff>57150</xdr:rowOff>
              </from>
              <to>
                <xdr:col>2</xdr:col>
                <xdr:colOff>2676525</xdr:colOff>
                <xdr:row>2</xdr:row>
                <xdr:rowOff>180975</xdr:rowOff>
              </to>
            </anchor>
          </controlPr>
        </control>
      </mc:Choice>
      <mc:Fallback>
        <control shapeId="4097" r:id="rId9" name="btnExportYML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M142"/>
  <sheetViews>
    <sheetView topLeftCell="B1" zoomScale="85" zoomScaleNormal="85" workbookViewId="0">
      <selection activeCell="C6" sqref="C6"/>
    </sheetView>
  </sheetViews>
  <sheetFormatPr defaultRowHeight="18.75"/>
  <cols>
    <col min="1" max="1" width="16.5" bestFit="1" customWidth="1"/>
    <col min="2" max="2" width="14.375" style="2" customWidth="1"/>
    <col min="3" max="3" width="61.625" style="2" customWidth="1"/>
    <col min="4" max="4" width="35.75" style="11" customWidth="1"/>
    <col min="5" max="5" width="11.125" style="2" bestFit="1" customWidth="1"/>
    <col min="6" max="6" width="24.5" customWidth="1"/>
    <col min="10" max="10" width="9.25" bestFit="1" customWidth="1"/>
    <col min="11" max="11" width="22.375" bestFit="1" customWidth="1"/>
  </cols>
  <sheetData>
    <row r="1" spans="1:13" ht="36">
      <c r="A1" s="8" t="s">
        <v>23</v>
      </c>
      <c r="B1" s="9"/>
      <c r="C1" s="9"/>
      <c r="D1" s="13" t="s">
        <v>80</v>
      </c>
      <c r="E1" s="9" t="s">
        <v>81</v>
      </c>
      <c r="H1" s="21" t="s">
        <v>103</v>
      </c>
      <c r="I1" s="21" t="s">
        <v>104</v>
      </c>
    </row>
    <row r="2" spans="1:13" ht="19.5">
      <c r="A2" s="1" t="s">
        <v>25</v>
      </c>
      <c r="B2" s="2" t="s">
        <v>143</v>
      </c>
      <c r="C2" s="7" t="str">
        <f>"# 間隔時間: "&amp;(B2/1000) &amp;"秒"</f>
        <v># 間隔時間: 1.5秒</v>
      </c>
      <c r="D2" s="29" t="s">
        <v>187</v>
      </c>
      <c r="E2" s="2" t="s">
        <v>82</v>
      </c>
      <c r="H2" s="22" t="s">
        <v>105</v>
      </c>
      <c r="I2" s="23">
        <v>50</v>
      </c>
      <c r="J2" s="24" t="s">
        <v>86</v>
      </c>
      <c r="K2" t="str">
        <f t="shared" ref="K2:L18" si="0">"id="&amp;H2</f>
        <v>id=5hxa4abl67jb6e9</v>
      </c>
      <c r="L2" t="str">
        <f ca="1">LEFT($D$3&amp;"-TEST00000000000000000000000",I2)</f>
        <v>1800_Entertainment-Sales &amp; Mktg Mgmt--2021-04-06-1</v>
      </c>
    </row>
    <row r="3" spans="1:13">
      <c r="A3" s="1" t="s">
        <v>26</v>
      </c>
      <c r="B3" s="2" t="s">
        <v>21</v>
      </c>
      <c r="D3" s="11" t="str">
        <f ca="1" xml:space="preserve"> LEFT(_xll.ReplaceMatch($D$2&amp;TEXT(NOW(),"-YYYY-MM-DD-HHMMSS"),"[\(\)]","-"),50)</f>
        <v>1800_Entertainment-Sales &amp; Mktg Mgmt--2021-04-06-1</v>
      </c>
      <c r="H3" s="22" t="s">
        <v>106</v>
      </c>
      <c r="I3" s="23">
        <v>50</v>
      </c>
      <c r="J3" s="24" t="s">
        <v>86</v>
      </c>
      <c r="K3" t="str">
        <f t="shared" si="0"/>
        <v>id=5hxa4abnxrrdhe9</v>
      </c>
      <c r="L3" t="str">
        <f t="shared" ref="L3:M18" ca="1" si="1">LEFT($D$3&amp;"-TEST00000000000000000000000",I3)</f>
        <v>1800_Entertainment-Sales &amp; Mktg Mgmt--2021-04-06-1</v>
      </c>
    </row>
    <row r="4" spans="1:13">
      <c r="A4" s="1" t="s">
        <v>27</v>
      </c>
      <c r="B4" s="2" t="s">
        <v>167</v>
      </c>
      <c r="H4" s="22" t="s">
        <v>107</v>
      </c>
      <c r="I4" s="23">
        <v>50</v>
      </c>
      <c r="J4" s="24" t="s">
        <v>86</v>
      </c>
      <c r="K4" t="str">
        <f t="shared" si="0"/>
        <v>id=5hxa4abpv9xgbe9</v>
      </c>
      <c r="L4" t="str">
        <f t="shared" ca="1" si="1"/>
        <v>1800_Entertainment-Sales &amp; Mktg Mgmt--2021-04-06-1</v>
      </c>
    </row>
    <row r="5" spans="1:13">
      <c r="A5" s="1" t="s">
        <v>132</v>
      </c>
      <c r="B5" s="2" t="s">
        <v>169</v>
      </c>
      <c r="H5" s="22" t="s">
        <v>107</v>
      </c>
      <c r="I5" s="23">
        <v>50</v>
      </c>
      <c r="J5" s="24" t="s">
        <v>86</v>
      </c>
      <c r="K5" t="str">
        <f t="shared" si="0"/>
        <v>id=5hxa4abpv9xgbe9</v>
      </c>
      <c r="L5" t="str">
        <f t="shared" ca="1" si="1"/>
        <v>1800_Entertainment-Sales &amp; Mktg Mgmt--2021-04-06-1</v>
      </c>
    </row>
    <row r="6" spans="1:13">
      <c r="A6" s="1" t="s">
        <v>168</v>
      </c>
      <c r="B6" s="2" t="s">
        <v>21</v>
      </c>
      <c r="H6" s="22" t="s">
        <v>107</v>
      </c>
      <c r="I6" s="23">
        <v>50</v>
      </c>
      <c r="J6" s="24" t="s">
        <v>86</v>
      </c>
      <c r="K6" t="str">
        <f t="shared" si="0"/>
        <v>id=5hxa4abpv9xgbe9</v>
      </c>
      <c r="L6" t="str">
        <f t="shared" ca="1" si="1"/>
        <v>1800_Entertainment-Sales &amp; Mktg Mgmt--2021-04-06-1</v>
      </c>
    </row>
    <row r="7" spans="1:13">
      <c r="A7" s="1"/>
      <c r="H7" s="22"/>
      <c r="I7" s="23"/>
      <c r="J7" s="24"/>
    </row>
    <row r="8" spans="1:13">
      <c r="A8" s="1"/>
      <c r="H8" s="22"/>
      <c r="I8" s="23"/>
      <c r="J8" s="24"/>
    </row>
    <row r="9" spans="1:13">
      <c r="A9" s="8" t="s">
        <v>24</v>
      </c>
      <c r="B9" s="9"/>
      <c r="C9" s="9"/>
      <c r="D9" s="13"/>
      <c r="E9" s="9"/>
      <c r="F9" s="9"/>
      <c r="I9" s="22" t="s">
        <v>108</v>
      </c>
      <c r="J9" s="23">
        <v>50</v>
      </c>
      <c r="K9" s="24" t="s">
        <v>86</v>
      </c>
      <c r="L9" t="str">
        <f t="shared" si="0"/>
        <v>id=5hxa4abp2lsefe9</v>
      </c>
      <c r="M9" t="str">
        <f t="shared" ca="1" si="1"/>
        <v>1800_Entertainment-Sales &amp; Mktg Mgmt--2021-04-06-1</v>
      </c>
    </row>
    <row r="10" spans="1:13">
      <c r="A10" s="1" t="s">
        <v>28</v>
      </c>
      <c r="B10" s="3" t="s">
        <v>17</v>
      </c>
      <c r="C10" s="4" t="s">
        <v>18</v>
      </c>
      <c r="D10" s="10" t="s">
        <v>44</v>
      </c>
      <c r="E10" s="4" t="s">
        <v>183</v>
      </c>
      <c r="F10" s="4" t="s">
        <v>19</v>
      </c>
      <c r="I10" s="22" t="s">
        <v>109</v>
      </c>
      <c r="J10" s="23">
        <v>50</v>
      </c>
      <c r="K10" s="24" t="s">
        <v>86</v>
      </c>
      <c r="L10" t="str">
        <f t="shared" si="0"/>
        <v>id=5hxa4abrilci7e9</v>
      </c>
      <c r="M10" t="str">
        <f t="shared" ca="1" si="1"/>
        <v>1800_Entertainment-Sales &amp; Mktg Mgmt--2021-04-06-1</v>
      </c>
    </row>
    <row r="11" spans="1:13">
      <c r="A11" t="str">
        <f>"step"&amp;ROW()-10</f>
        <v>step1</v>
      </c>
      <c r="B11" s="2" t="s">
        <v>135</v>
      </c>
      <c r="C11" s="5" t="s">
        <v>138</v>
      </c>
      <c r="D11" s="11">
        <v>1</v>
      </c>
      <c r="E11" s="5"/>
      <c r="F11" s="5"/>
    </row>
    <row r="12" spans="1:13">
      <c r="A12" t="str">
        <f t="shared" ref="A12:A81" si="2">"step"&amp;ROW()-10</f>
        <v>step2</v>
      </c>
      <c r="B12" s="2" t="s">
        <v>1</v>
      </c>
      <c r="C12" s="5" t="s">
        <v>2</v>
      </c>
      <c r="E12" s="5"/>
      <c r="F12" s="5" t="s">
        <v>60</v>
      </c>
      <c r="I12" s="22" t="s">
        <v>110</v>
      </c>
      <c r="J12" s="23">
        <v>50</v>
      </c>
      <c r="K12" s="24" t="s">
        <v>86</v>
      </c>
      <c r="L12" t="str">
        <f t="shared" si="0"/>
        <v>id=5hx8wnpmmrka5e9</v>
      </c>
      <c r="M12" t="str">
        <f t="shared" ca="1" si="1"/>
        <v>1800_Entertainment-Sales &amp; Mktg Mgmt--2021-04-06-1</v>
      </c>
    </row>
    <row r="13" spans="1:13">
      <c r="A13" t="str">
        <f t="shared" si="2"/>
        <v>step3</v>
      </c>
      <c r="B13" s="2" t="s">
        <v>1</v>
      </c>
      <c r="C13" s="5" t="s">
        <v>3</v>
      </c>
      <c r="E13" s="5"/>
      <c r="F13" s="5" t="s">
        <v>59</v>
      </c>
      <c r="I13" s="22" t="s">
        <v>111</v>
      </c>
      <c r="J13" s="23">
        <v>50</v>
      </c>
      <c r="K13" s="24" t="s">
        <v>86</v>
      </c>
      <c r="L13" t="str">
        <f t="shared" si="0"/>
        <v>id=5hx8wnpr1eieme9</v>
      </c>
      <c r="M13" t="str">
        <f t="shared" ca="1" si="1"/>
        <v>1800_Entertainment-Sales &amp; Mktg Mgmt--2021-04-06-1</v>
      </c>
    </row>
    <row r="14" spans="1:13">
      <c r="A14" t="str">
        <f t="shared" si="2"/>
        <v>step4</v>
      </c>
      <c r="B14" s="2" t="s">
        <v>144</v>
      </c>
      <c r="C14" s="5"/>
      <c r="D14" s="11">
        <v>1000</v>
      </c>
      <c r="E14" s="5"/>
      <c r="F14" s="5"/>
      <c r="I14" s="22" t="s">
        <v>112</v>
      </c>
      <c r="J14" s="23">
        <v>50</v>
      </c>
      <c r="K14" s="24" t="s">
        <v>86</v>
      </c>
      <c r="L14" t="str">
        <f t="shared" si="0"/>
        <v>id=5hx8wnt10p5upe9</v>
      </c>
      <c r="M14" t="str">
        <f t="shared" ca="1" si="1"/>
        <v>1800_Entertainment-Sales &amp; Mktg Mgmt--2021-04-06-1</v>
      </c>
    </row>
    <row r="15" spans="1:13">
      <c r="A15" t="str">
        <f t="shared" si="2"/>
        <v>step5</v>
      </c>
      <c r="B15" s="2" t="s">
        <v>4</v>
      </c>
      <c r="C15" s="5" t="s">
        <v>5</v>
      </c>
      <c r="D15" s="11" t="s">
        <v>85</v>
      </c>
      <c r="E15" s="5"/>
      <c r="F15" s="5"/>
      <c r="I15" s="22" t="s">
        <v>112</v>
      </c>
      <c r="J15" s="23">
        <v>50</v>
      </c>
      <c r="K15" s="24" t="s">
        <v>86</v>
      </c>
      <c r="L15" t="str">
        <f t="shared" si="0"/>
        <v>id=5hx8wnt10p5upe9</v>
      </c>
      <c r="M15" t="str">
        <f t="shared" ca="1" si="1"/>
        <v>1800_Entertainment-Sales &amp; Mktg Mgmt--2021-04-06-1</v>
      </c>
    </row>
    <row r="16" spans="1:13">
      <c r="A16" t="str">
        <f t="shared" si="2"/>
        <v>step6</v>
      </c>
      <c r="B16" s="2" t="s">
        <v>86</v>
      </c>
      <c r="C16" s="5" t="s">
        <v>29</v>
      </c>
      <c r="D16" s="11" t="s">
        <v>45</v>
      </c>
      <c r="E16" s="5"/>
      <c r="F16" s="5" t="s">
        <v>61</v>
      </c>
      <c r="I16" s="22" t="s">
        <v>113</v>
      </c>
      <c r="J16" s="23">
        <v>50</v>
      </c>
      <c r="K16" s="24" t="s">
        <v>86</v>
      </c>
      <c r="L16" t="str">
        <f t="shared" si="0"/>
        <v>id=5hx8wnpxlgthne9</v>
      </c>
      <c r="M16" t="str">
        <f t="shared" ca="1" si="1"/>
        <v>1800_Entertainment-Sales &amp; Mktg Mgmt--2021-04-06-1</v>
      </c>
    </row>
    <row r="17" spans="1:13">
      <c r="A17" t="str">
        <f t="shared" si="2"/>
        <v>step7</v>
      </c>
      <c r="B17" s="2" t="s">
        <v>144</v>
      </c>
      <c r="C17" s="5"/>
      <c r="D17" s="11">
        <v>1000</v>
      </c>
      <c r="E17" s="5"/>
      <c r="F17" s="5"/>
      <c r="I17" s="22" t="s">
        <v>112</v>
      </c>
      <c r="J17" s="23">
        <v>50</v>
      </c>
      <c r="K17" s="24" t="s">
        <v>86</v>
      </c>
      <c r="L17" t="str">
        <f t="shared" si="0"/>
        <v>id=5hx8wnt10p5upe9</v>
      </c>
      <c r="M17" t="str">
        <f t="shared" ca="1" si="1"/>
        <v>1800_Entertainment-Sales &amp; Mktg Mgmt--2021-04-06-1</v>
      </c>
    </row>
    <row r="18" spans="1:13">
      <c r="A18" t="str">
        <f t="shared" si="2"/>
        <v>step8</v>
      </c>
      <c r="B18" s="2" t="s">
        <v>7</v>
      </c>
      <c r="C18" s="5" t="s">
        <v>8</v>
      </c>
      <c r="E18" s="5"/>
      <c r="F18" s="5"/>
      <c r="I18" s="22" t="s">
        <v>114</v>
      </c>
      <c r="J18" s="23">
        <v>50</v>
      </c>
      <c r="K18" s="24" t="s">
        <v>86</v>
      </c>
      <c r="L18" t="str">
        <f t="shared" si="0"/>
        <v>id=5hx8wnt4h48xve9</v>
      </c>
      <c r="M18" t="str">
        <f t="shared" ca="1" si="1"/>
        <v>1800_Entertainment-Sales &amp; Mktg Mgmt--2021-04-06-1</v>
      </c>
    </row>
    <row r="19" spans="1:13">
      <c r="A19" t="str">
        <f t="shared" si="2"/>
        <v>step9</v>
      </c>
      <c r="B19" s="17" t="s">
        <v>147</v>
      </c>
      <c r="C19" s="18" t="s">
        <v>150</v>
      </c>
      <c r="D19" s="19"/>
      <c r="E19" s="17"/>
      <c r="F19" s="17"/>
    </row>
    <row r="20" spans="1:13">
      <c r="A20" t="str">
        <f t="shared" si="2"/>
        <v>step10</v>
      </c>
      <c r="B20" s="2" t="s">
        <v>0</v>
      </c>
      <c r="C20" s="6" t="s">
        <v>10</v>
      </c>
      <c r="D20" s="12"/>
      <c r="E20" s="5"/>
      <c r="F20" s="5" t="s">
        <v>20</v>
      </c>
    </row>
    <row r="21" spans="1:13">
      <c r="A21" t="str">
        <f t="shared" si="2"/>
        <v>step11</v>
      </c>
      <c r="B21" s="2" t="s">
        <v>11</v>
      </c>
      <c r="C21" s="5" t="s">
        <v>12</v>
      </c>
      <c r="D21" s="11" t="s">
        <v>46</v>
      </c>
      <c r="E21" s="5"/>
      <c r="F21" s="5"/>
    </row>
    <row r="22" spans="1:13">
      <c r="A22" t="str">
        <f t="shared" si="2"/>
        <v>step12</v>
      </c>
      <c r="B22" s="2" t="s">
        <v>11</v>
      </c>
      <c r="C22" s="5" t="s">
        <v>12</v>
      </c>
      <c r="D22" s="16" t="s">
        <v>49</v>
      </c>
      <c r="E22" s="5"/>
      <c r="F22" s="5"/>
    </row>
    <row r="23" spans="1:13">
      <c r="A23" t="str">
        <f t="shared" si="2"/>
        <v>step13</v>
      </c>
      <c r="B23" s="2" t="s">
        <v>6</v>
      </c>
      <c r="C23" s="5" t="s">
        <v>13</v>
      </c>
      <c r="E23" s="5"/>
      <c r="F23" s="5" t="s">
        <v>64</v>
      </c>
    </row>
    <row r="24" spans="1:13">
      <c r="A24" t="str">
        <f t="shared" si="2"/>
        <v>step14</v>
      </c>
      <c r="B24" s="2" t="s">
        <v>7</v>
      </c>
      <c r="C24" s="5" t="s">
        <v>62</v>
      </c>
      <c r="D24" s="5" t="s">
        <v>63</v>
      </c>
      <c r="E24" s="5"/>
      <c r="F24" s="5" t="s">
        <v>65</v>
      </c>
    </row>
    <row r="25" spans="1:13">
      <c r="A25" t="str">
        <f t="shared" si="2"/>
        <v>step15</v>
      </c>
      <c r="B25" s="2" t="s">
        <v>7</v>
      </c>
      <c r="C25" s="5" t="s">
        <v>15</v>
      </c>
      <c r="E25" s="5"/>
      <c r="F25" s="5" t="s">
        <v>66</v>
      </c>
    </row>
    <row r="26" spans="1:13">
      <c r="A26" t="str">
        <f t="shared" si="2"/>
        <v>step16</v>
      </c>
      <c r="B26" s="17" t="s">
        <v>147</v>
      </c>
      <c r="C26" s="18" t="s">
        <v>178</v>
      </c>
      <c r="D26" s="19"/>
      <c r="F26" s="2"/>
    </row>
    <row r="27" spans="1:13">
      <c r="A27" t="str">
        <f t="shared" si="2"/>
        <v>step17</v>
      </c>
      <c r="B27" s="17" t="s">
        <v>176</v>
      </c>
      <c r="C27" s="18" t="s">
        <v>180</v>
      </c>
      <c r="D27" s="19" t="str">
        <f>$D$2</f>
        <v>1800_Entertainment(Sales &amp; Mktg Mgmt)</v>
      </c>
      <c r="F27" s="2"/>
    </row>
    <row r="28" spans="1:13">
      <c r="A28" t="str">
        <f t="shared" si="2"/>
        <v>step18</v>
      </c>
      <c r="B28" s="17" t="s">
        <v>175</v>
      </c>
      <c r="C28" s="18" t="s">
        <v>181</v>
      </c>
      <c r="D28" s="19"/>
      <c r="F28" s="2"/>
    </row>
    <row r="29" spans="1:13">
      <c r="A29" t="str">
        <f t="shared" si="2"/>
        <v>step19</v>
      </c>
      <c r="B29" s="17" t="s">
        <v>179</v>
      </c>
      <c r="C29" s="18" t="s">
        <v>178</v>
      </c>
      <c r="D29" s="19"/>
      <c r="F29" s="2"/>
    </row>
    <row r="30" spans="1:13">
      <c r="A30" t="str">
        <f t="shared" si="2"/>
        <v>step20</v>
      </c>
      <c r="B30" s="17" t="s">
        <v>147</v>
      </c>
      <c r="C30" s="18" t="s">
        <v>177</v>
      </c>
      <c r="D30" s="19"/>
      <c r="F30" s="2"/>
    </row>
    <row r="31" spans="1:13">
      <c r="A31" t="str">
        <f t="shared" si="2"/>
        <v>step21</v>
      </c>
      <c r="B31" s="17" t="s">
        <v>7</v>
      </c>
      <c r="C31" s="18" t="s">
        <v>100</v>
      </c>
      <c r="D31" s="19" t="str">
        <f>$D$2</f>
        <v>1800_Entertainment(Sales &amp; Mktg Mgmt)</v>
      </c>
      <c r="F31" s="2" t="s">
        <v>87</v>
      </c>
    </row>
    <row r="32" spans="1:13">
      <c r="A32" t="str">
        <f t="shared" si="2"/>
        <v>step22</v>
      </c>
      <c r="B32" s="2" t="s">
        <v>144</v>
      </c>
      <c r="C32" s="5"/>
      <c r="D32" s="11">
        <v>1000</v>
      </c>
      <c r="E32" s="5"/>
      <c r="F32" s="5"/>
      <c r="I32" s="22" t="s">
        <v>112</v>
      </c>
      <c r="J32" s="23">
        <v>50</v>
      </c>
      <c r="K32" s="24" t="s">
        <v>86</v>
      </c>
      <c r="L32" t="str">
        <f t="shared" ref="L32" si="3">"id="&amp;I32</f>
        <v>id=5hx8wnt10p5upe9</v>
      </c>
      <c r="M32" t="str">
        <f t="shared" ref="M32" ca="1" si="4">LEFT($D$3&amp;"-TEST00000000000000000000000",J32)</f>
        <v>1800_Entertainment-Sales &amp; Mktg Mgmt--2021-04-06-1</v>
      </c>
    </row>
    <row r="33" spans="1:6">
      <c r="A33" t="str">
        <f t="shared" si="2"/>
        <v>step23</v>
      </c>
      <c r="B33" s="14" t="s">
        <v>11</v>
      </c>
      <c r="C33" s="15" t="s">
        <v>30</v>
      </c>
      <c r="D33" s="16"/>
      <c r="E33">
        <v>1</v>
      </c>
      <c r="F33" s="18" t="s">
        <v>51</v>
      </c>
    </row>
    <row r="34" spans="1:6">
      <c r="A34" t="str">
        <f t="shared" si="2"/>
        <v>step24</v>
      </c>
      <c r="B34" s="14" t="s">
        <v>11</v>
      </c>
      <c r="C34" s="15" t="s">
        <v>12</v>
      </c>
      <c r="D34" s="16" t="s">
        <v>49</v>
      </c>
      <c r="F34" s="2" t="s">
        <v>159</v>
      </c>
    </row>
    <row r="35" spans="1:6">
      <c r="A35" t="str">
        <f t="shared" si="2"/>
        <v>step25</v>
      </c>
      <c r="B35" s="14" t="s">
        <v>11</v>
      </c>
      <c r="C35" s="15" t="s">
        <v>12</v>
      </c>
      <c r="D35" s="16" t="s">
        <v>49</v>
      </c>
      <c r="E35" s="14"/>
      <c r="F35" s="14"/>
    </row>
    <row r="36" spans="1:6">
      <c r="A36" s="20" t="str">
        <f t="shared" si="2"/>
        <v>step26</v>
      </c>
      <c r="B36" s="17" t="s">
        <v>101</v>
      </c>
      <c r="C36" s="18" t="s">
        <v>115</v>
      </c>
      <c r="D36" s="19" t="str">
        <f ca="1">$D$3</f>
        <v>1800_Entertainment-Sales &amp; Mktg Mgmt--2021-04-06-1</v>
      </c>
      <c r="E36"/>
    </row>
    <row r="37" spans="1:6">
      <c r="A37" s="20" t="str">
        <f t="shared" si="2"/>
        <v>step27</v>
      </c>
      <c r="B37" s="17" t="s">
        <v>101</v>
      </c>
      <c r="C37" s="18" t="s">
        <v>116</v>
      </c>
      <c r="D37" s="19" t="str">
        <f t="shared" ref="D37:D45" ca="1" si="5">$D$3</f>
        <v>1800_Entertainment-Sales &amp; Mktg Mgmt--2021-04-06-1</v>
      </c>
      <c r="E37"/>
    </row>
    <row r="38" spans="1:6">
      <c r="A38" s="20" t="str">
        <f t="shared" si="2"/>
        <v>step28</v>
      </c>
      <c r="B38" s="17" t="s">
        <v>101</v>
      </c>
      <c r="C38" s="18" t="s">
        <v>117</v>
      </c>
      <c r="D38" s="19" t="str">
        <f t="shared" ca="1" si="5"/>
        <v>1800_Entertainment-Sales &amp; Mktg Mgmt--2021-04-06-1</v>
      </c>
      <c r="E38"/>
    </row>
    <row r="39" spans="1:6">
      <c r="A39" s="20" t="str">
        <f t="shared" si="2"/>
        <v>step29</v>
      </c>
      <c r="B39" s="17" t="s">
        <v>101</v>
      </c>
      <c r="C39" s="18" t="s">
        <v>118</v>
      </c>
      <c r="D39" s="19" t="str">
        <f t="shared" ca="1" si="5"/>
        <v>1800_Entertainment-Sales &amp; Mktg Mgmt--2021-04-06-1</v>
      </c>
      <c r="E39"/>
    </row>
    <row r="40" spans="1:6">
      <c r="A40" s="20" t="str">
        <f t="shared" si="2"/>
        <v>step30</v>
      </c>
      <c r="B40" s="17" t="s">
        <v>101</v>
      </c>
      <c r="C40" s="18" t="s">
        <v>119</v>
      </c>
      <c r="D40" s="19" t="str">
        <f t="shared" ca="1" si="5"/>
        <v>1800_Entertainment-Sales &amp; Mktg Mgmt--2021-04-06-1</v>
      </c>
      <c r="E40"/>
    </row>
    <row r="41" spans="1:6">
      <c r="A41" s="20" t="str">
        <f t="shared" si="2"/>
        <v>step31</v>
      </c>
      <c r="B41" s="17" t="s">
        <v>101</v>
      </c>
      <c r="C41" s="18" t="s">
        <v>120</v>
      </c>
      <c r="D41" s="19" t="str">
        <f t="shared" ca="1" si="5"/>
        <v>1800_Entertainment-Sales &amp; Mktg Mgmt--2021-04-06-1</v>
      </c>
      <c r="E41"/>
    </row>
    <row r="42" spans="1:6">
      <c r="A42" s="20" t="str">
        <f t="shared" si="2"/>
        <v>step32</v>
      </c>
      <c r="B42" s="17" t="s">
        <v>101</v>
      </c>
      <c r="C42" s="18" t="s">
        <v>121</v>
      </c>
      <c r="D42" s="19" t="str">
        <f t="shared" ca="1" si="5"/>
        <v>1800_Entertainment-Sales &amp; Mktg Mgmt--2021-04-06-1</v>
      </c>
      <c r="E42"/>
    </row>
    <row r="43" spans="1:6">
      <c r="A43" s="20" t="str">
        <f t="shared" si="2"/>
        <v>step33</v>
      </c>
      <c r="B43" s="17" t="s">
        <v>101</v>
      </c>
      <c r="C43" s="18" t="s">
        <v>122</v>
      </c>
      <c r="D43" s="19" t="str">
        <f t="shared" ca="1" si="5"/>
        <v>1800_Entertainment-Sales &amp; Mktg Mgmt--2021-04-06-1</v>
      </c>
      <c r="E43"/>
    </row>
    <row r="44" spans="1:6">
      <c r="A44" s="20" t="str">
        <f t="shared" si="2"/>
        <v>step34</v>
      </c>
      <c r="B44" s="17" t="s">
        <v>101</v>
      </c>
      <c r="C44" s="18" t="s">
        <v>123</v>
      </c>
      <c r="D44" s="19" t="str">
        <f t="shared" ca="1" si="5"/>
        <v>1800_Entertainment-Sales &amp; Mktg Mgmt--2021-04-06-1</v>
      </c>
      <c r="E44"/>
    </row>
    <row r="45" spans="1:6">
      <c r="A45" s="20" t="str">
        <f t="shared" si="2"/>
        <v>step35</v>
      </c>
      <c r="B45" s="17" t="s">
        <v>101</v>
      </c>
      <c r="C45" s="18" t="s">
        <v>124</v>
      </c>
      <c r="D45" s="19" t="str">
        <f t="shared" ca="1" si="5"/>
        <v>1800_Entertainment-Sales &amp; Mktg Mgmt--2021-04-06-1</v>
      </c>
      <c r="E45"/>
    </row>
    <row r="46" spans="1:6">
      <c r="A46" t="str">
        <f t="shared" si="2"/>
        <v>step36</v>
      </c>
      <c r="B46" s="2" t="s">
        <v>7</v>
      </c>
      <c r="C46" s="17" t="s">
        <v>72</v>
      </c>
      <c r="D46" s="19"/>
      <c r="E46"/>
      <c r="F46" s="17" t="s">
        <v>71</v>
      </c>
    </row>
    <row r="47" spans="1:6">
      <c r="A47" t="str">
        <f t="shared" si="2"/>
        <v>step37</v>
      </c>
      <c r="B47" s="14" t="s">
        <v>11</v>
      </c>
      <c r="C47" s="15" t="s">
        <v>30</v>
      </c>
      <c r="D47" s="16"/>
      <c r="E47" s="18"/>
      <c r="F47" s="18" t="s">
        <v>51</v>
      </c>
    </row>
    <row r="48" spans="1:6">
      <c r="A48" t="str">
        <f t="shared" si="2"/>
        <v>step38</v>
      </c>
      <c r="B48" s="14" t="s">
        <v>11</v>
      </c>
      <c r="C48" s="15" t="s">
        <v>12</v>
      </c>
      <c r="D48" s="16">
        <v>0</v>
      </c>
      <c r="E48" s="14"/>
      <c r="F48" s="14"/>
    </row>
    <row r="49" spans="1:13">
      <c r="A49" t="str">
        <f t="shared" si="2"/>
        <v>step39</v>
      </c>
      <c r="B49" s="14" t="s">
        <v>11</v>
      </c>
      <c r="C49" s="15" t="s">
        <v>12</v>
      </c>
      <c r="D49" s="16">
        <v>1</v>
      </c>
      <c r="F49" s="2" t="s">
        <v>70</v>
      </c>
    </row>
    <row r="50" spans="1:13">
      <c r="A50" t="str">
        <f t="shared" si="2"/>
        <v>step40</v>
      </c>
      <c r="B50" s="2" t="s">
        <v>73</v>
      </c>
      <c r="C50" s="5"/>
      <c r="D50" s="11">
        <v>1000</v>
      </c>
      <c r="E50" s="5"/>
      <c r="F50" s="5"/>
      <c r="I50" s="22" t="s">
        <v>112</v>
      </c>
      <c r="J50" s="23">
        <v>50</v>
      </c>
      <c r="K50" s="24" t="s">
        <v>86</v>
      </c>
      <c r="L50" t="str">
        <f t="shared" ref="L50" si="6">"id="&amp;I50</f>
        <v>id=5hx8wnt10p5upe9</v>
      </c>
      <c r="M50" t="str">
        <f t="shared" ref="M50" ca="1" si="7">LEFT($D$3&amp;"-TEST00000000000000000000000",J50)</f>
        <v>1800_Entertainment-Sales &amp; Mktg Mgmt--2021-04-06-1</v>
      </c>
    </row>
    <row r="51" spans="1:13">
      <c r="A51" t="str">
        <f t="shared" si="2"/>
        <v>step41</v>
      </c>
      <c r="B51" s="2" t="s">
        <v>33</v>
      </c>
      <c r="C51" s="2" t="s">
        <v>31</v>
      </c>
      <c r="D51" s="11" t="str">
        <f ca="1">$D$3</f>
        <v>1800_Entertainment-Sales &amp; Mktg Mgmt--2021-04-06-1</v>
      </c>
      <c r="F51" s="2" t="s">
        <v>97</v>
      </c>
    </row>
    <row r="52" spans="1:13">
      <c r="A52" t="str">
        <f t="shared" si="2"/>
        <v>step42</v>
      </c>
      <c r="B52" s="2" t="s">
        <v>33</v>
      </c>
      <c r="C52" s="2" t="s">
        <v>32</v>
      </c>
      <c r="D52" s="11" t="str">
        <f ca="1" xml:space="preserve"> C52&amp;":"&amp;$D$3</f>
        <v>name=draft_comment:1800_Entertainment-Sales &amp; Mktg Mgmt--2021-04-06-1</v>
      </c>
      <c r="F52" s="2"/>
    </row>
    <row r="53" spans="1:13">
      <c r="A53" t="str">
        <f t="shared" si="2"/>
        <v>step43</v>
      </c>
      <c r="B53" s="2" t="s">
        <v>33</v>
      </c>
      <c r="C53" s="2" t="s">
        <v>34</v>
      </c>
      <c r="D53" s="11" t="str">
        <f ca="1" xml:space="preserve"> $D$3</f>
        <v>1800_Entertainment-Sales &amp; Mktg Mgmt--2021-04-06-1</v>
      </c>
      <c r="F53" s="2"/>
    </row>
    <row r="54" spans="1:13">
      <c r="A54" t="str">
        <f t="shared" si="2"/>
        <v>step44</v>
      </c>
      <c r="B54" s="2" t="s">
        <v>33</v>
      </c>
      <c r="C54" s="2" t="s">
        <v>43</v>
      </c>
      <c r="D54" s="11" t="str">
        <f ca="1" xml:space="preserve"> C54&amp;":"&amp;$D$3</f>
        <v>name=mail_body:1800_Entertainment-Sales &amp; Mktg Mgmt--2021-04-06-1</v>
      </c>
      <c r="F54" s="2"/>
    </row>
    <row r="55" spans="1:13">
      <c r="A55" t="str">
        <f t="shared" si="2"/>
        <v>step45</v>
      </c>
      <c r="B55" s="17" t="s">
        <v>68</v>
      </c>
      <c r="C55" s="17" t="s">
        <v>35</v>
      </c>
      <c r="D55" s="19">
        <v>1000</v>
      </c>
      <c r="E55" s="17" t="s">
        <v>182</v>
      </c>
      <c r="F55" s="17" t="s">
        <v>67</v>
      </c>
    </row>
    <row r="56" spans="1:13">
      <c r="A56" t="str">
        <f t="shared" si="2"/>
        <v>step46</v>
      </c>
      <c r="B56" s="2" t="s">
        <v>73</v>
      </c>
      <c r="C56" s="5"/>
      <c r="D56" s="11">
        <v>1000</v>
      </c>
      <c r="E56" s="5"/>
      <c r="F56" s="5"/>
      <c r="I56" s="22" t="s">
        <v>112</v>
      </c>
      <c r="J56" s="23">
        <v>50</v>
      </c>
      <c r="K56" s="24" t="s">
        <v>86</v>
      </c>
      <c r="L56" t="str">
        <f t="shared" ref="L56" si="8">"id="&amp;I56</f>
        <v>id=5hx8wnt10p5upe9</v>
      </c>
      <c r="M56" t="str">
        <f t="shared" ref="M56" ca="1" si="9">LEFT($D$3&amp;"-TEST00000000000000000000000",J56)</f>
        <v>1800_Entertainment-Sales &amp; Mktg Mgmt--2021-04-06-1</v>
      </c>
    </row>
    <row r="57" spans="1:13">
      <c r="A57" t="str">
        <f t="shared" si="2"/>
        <v>step47</v>
      </c>
      <c r="B57" s="17" t="s">
        <v>7</v>
      </c>
      <c r="C57" s="17" t="s">
        <v>35</v>
      </c>
      <c r="D57" s="19"/>
      <c r="E57" s="2" t="s">
        <v>184</v>
      </c>
      <c r="F57" s="2"/>
    </row>
    <row r="58" spans="1:13">
      <c r="A58" t="str">
        <f t="shared" si="2"/>
        <v>step48</v>
      </c>
      <c r="B58" s="2" t="s">
        <v>7</v>
      </c>
      <c r="C58" s="5" t="s">
        <v>36</v>
      </c>
      <c r="E58" s="2" t="s">
        <v>184</v>
      </c>
      <c r="F58" s="2"/>
    </row>
    <row r="59" spans="1:13">
      <c r="A59" t="str">
        <f t="shared" si="2"/>
        <v>step49</v>
      </c>
      <c r="B59" s="2" t="s">
        <v>7</v>
      </c>
      <c r="C59" s="5" t="s">
        <v>37</v>
      </c>
      <c r="E59" s="2" t="s">
        <v>184</v>
      </c>
      <c r="F59" s="2"/>
    </row>
    <row r="60" spans="1:13">
      <c r="A60" t="str">
        <f t="shared" si="2"/>
        <v>step50</v>
      </c>
      <c r="B60" s="2" t="s">
        <v>7</v>
      </c>
      <c r="C60" s="5" t="s">
        <v>38</v>
      </c>
      <c r="E60" s="2" t="s">
        <v>184</v>
      </c>
      <c r="F60" s="2"/>
    </row>
    <row r="61" spans="1:13">
      <c r="A61" t="str">
        <f t="shared" si="2"/>
        <v>step51</v>
      </c>
      <c r="B61" s="2" t="s">
        <v>7</v>
      </c>
      <c r="C61" s="5" t="s">
        <v>39</v>
      </c>
      <c r="E61" s="2" t="s">
        <v>184</v>
      </c>
      <c r="F61" s="2"/>
    </row>
    <row r="62" spans="1:13">
      <c r="A62" t="str">
        <f t="shared" si="2"/>
        <v>step52</v>
      </c>
      <c r="B62" s="2" t="s">
        <v>7</v>
      </c>
      <c r="C62" s="5" t="s">
        <v>40</v>
      </c>
      <c r="F62" s="2" t="s">
        <v>75</v>
      </c>
    </row>
    <row r="63" spans="1:13">
      <c r="A63" t="str">
        <f t="shared" si="2"/>
        <v>step53</v>
      </c>
      <c r="B63" s="2" t="s">
        <v>7</v>
      </c>
      <c r="C63" s="2" t="s">
        <v>41</v>
      </c>
      <c r="F63" s="2"/>
    </row>
    <row r="64" spans="1:13">
      <c r="A64" t="str">
        <f t="shared" si="2"/>
        <v>step54</v>
      </c>
      <c r="B64" s="14" t="s">
        <v>11</v>
      </c>
      <c r="C64" s="14" t="s">
        <v>171</v>
      </c>
      <c r="D64" s="16" t="s">
        <v>48</v>
      </c>
      <c r="E64" s="14"/>
      <c r="F64" s="14" t="s">
        <v>42</v>
      </c>
    </row>
    <row r="65" spans="1:13">
      <c r="A65" t="str">
        <f t="shared" si="2"/>
        <v>step55</v>
      </c>
      <c r="B65" s="14" t="s">
        <v>11</v>
      </c>
      <c r="C65" s="15" t="s">
        <v>30</v>
      </c>
      <c r="D65" s="16"/>
      <c r="E65" s="18"/>
      <c r="F65" s="18" t="s">
        <v>51</v>
      </c>
    </row>
    <row r="66" spans="1:13">
      <c r="A66" t="str">
        <f t="shared" si="2"/>
        <v>step56</v>
      </c>
      <c r="B66" s="14" t="s">
        <v>11</v>
      </c>
      <c r="C66" s="15" t="s">
        <v>12</v>
      </c>
      <c r="D66" s="16" t="s">
        <v>49</v>
      </c>
      <c r="F66" s="2"/>
    </row>
    <row r="67" spans="1:13">
      <c r="A67" t="str">
        <f t="shared" si="2"/>
        <v>step57</v>
      </c>
      <c r="B67" s="14" t="s">
        <v>11</v>
      </c>
      <c r="C67" s="15" t="s">
        <v>12</v>
      </c>
      <c r="D67" s="16" t="s">
        <v>47</v>
      </c>
      <c r="F67" s="2" t="s">
        <v>70</v>
      </c>
    </row>
    <row r="68" spans="1:13">
      <c r="A68" t="str">
        <f t="shared" si="2"/>
        <v>step58</v>
      </c>
      <c r="B68" s="17" t="s">
        <v>68</v>
      </c>
      <c r="C68" s="17" t="s">
        <v>54</v>
      </c>
      <c r="D68" s="19">
        <v>1000</v>
      </c>
      <c r="E68" s="17"/>
      <c r="F68" s="17" t="s">
        <v>69</v>
      </c>
    </row>
    <row r="69" spans="1:13">
      <c r="A69" t="str">
        <f t="shared" si="2"/>
        <v>step59</v>
      </c>
      <c r="B69" s="2" t="s">
        <v>73</v>
      </c>
      <c r="C69" s="5"/>
      <c r="D69" s="11">
        <v>1000</v>
      </c>
      <c r="E69" s="5"/>
      <c r="F69" s="5"/>
      <c r="I69" s="22" t="s">
        <v>112</v>
      </c>
      <c r="J69" s="23">
        <v>50</v>
      </c>
      <c r="K69" s="24" t="s">
        <v>86</v>
      </c>
      <c r="L69" t="str">
        <f t="shared" ref="L69" si="10">"id="&amp;I69</f>
        <v>id=5hx8wnt10p5upe9</v>
      </c>
      <c r="M69" t="str">
        <f t="shared" ref="M69" ca="1" si="11">LEFT($D$3&amp;"-TEST00000000000000000000000",J69)</f>
        <v>1800_Entertainment-Sales &amp; Mktg Mgmt--2021-04-06-1</v>
      </c>
    </row>
    <row r="70" spans="1:13">
      <c r="A70" t="str">
        <f t="shared" si="2"/>
        <v>step60</v>
      </c>
      <c r="B70" s="2" t="s">
        <v>52</v>
      </c>
      <c r="C70" s="2" t="s">
        <v>55</v>
      </c>
      <c r="D70" s="11" t="s">
        <v>83</v>
      </c>
      <c r="F70" s="2"/>
    </row>
    <row r="71" spans="1:13">
      <c r="A71" t="str">
        <f t="shared" si="2"/>
        <v>step61</v>
      </c>
      <c r="B71" s="2" t="s">
        <v>7</v>
      </c>
      <c r="C71" s="2" t="s">
        <v>40</v>
      </c>
      <c r="F71" s="2"/>
    </row>
    <row r="72" spans="1:13">
      <c r="A72" t="str">
        <f t="shared" si="2"/>
        <v>step62</v>
      </c>
      <c r="B72" s="2" t="s">
        <v>52</v>
      </c>
      <c r="C72" s="2" t="s">
        <v>55</v>
      </c>
      <c r="D72" s="11" t="s">
        <v>83</v>
      </c>
      <c r="F72" s="2"/>
    </row>
    <row r="73" spans="1:13">
      <c r="A73" t="str">
        <f t="shared" si="2"/>
        <v>step63</v>
      </c>
      <c r="B73" s="17" t="s">
        <v>86</v>
      </c>
      <c r="C73" s="2" t="s">
        <v>57</v>
      </c>
      <c r="D73" s="11" t="s">
        <v>84</v>
      </c>
      <c r="F73" s="2"/>
    </row>
    <row r="74" spans="1:13">
      <c r="A74" t="str">
        <f t="shared" si="2"/>
        <v>step64</v>
      </c>
      <c r="B74" s="2" t="s">
        <v>7</v>
      </c>
      <c r="C74" s="2" t="s">
        <v>40</v>
      </c>
      <c r="F74" s="2"/>
    </row>
    <row r="75" spans="1:13">
      <c r="A75" t="str">
        <f t="shared" si="2"/>
        <v>step65</v>
      </c>
      <c r="B75" s="2" t="s">
        <v>7</v>
      </c>
      <c r="C75" s="2" t="s">
        <v>41</v>
      </c>
      <c r="F75" s="2"/>
    </row>
    <row r="76" spans="1:13">
      <c r="A76" t="str">
        <f t="shared" si="2"/>
        <v>step66</v>
      </c>
      <c r="B76" s="14" t="s">
        <v>11</v>
      </c>
      <c r="C76" s="14" t="s">
        <v>171</v>
      </c>
      <c r="D76" s="16" t="s">
        <v>48</v>
      </c>
      <c r="E76" s="14"/>
      <c r="F76" s="14" t="s">
        <v>42</v>
      </c>
    </row>
    <row r="77" spans="1:13">
      <c r="A77" t="str">
        <f t="shared" si="2"/>
        <v>step67</v>
      </c>
      <c r="B77" s="14" t="s">
        <v>11</v>
      </c>
      <c r="C77" s="15" t="s">
        <v>12</v>
      </c>
      <c r="D77" s="16" t="s">
        <v>49</v>
      </c>
      <c r="F77" s="2"/>
    </row>
    <row r="78" spans="1:13">
      <c r="A78" t="str">
        <f t="shared" si="2"/>
        <v>step68</v>
      </c>
      <c r="B78" s="14" t="s">
        <v>11</v>
      </c>
      <c r="C78" s="15" t="s">
        <v>12</v>
      </c>
      <c r="D78" s="16" t="s">
        <v>47</v>
      </c>
      <c r="F78" s="2" t="s">
        <v>70</v>
      </c>
    </row>
    <row r="79" spans="1:13">
      <c r="A79" t="str">
        <f t="shared" si="2"/>
        <v>step69</v>
      </c>
      <c r="B79" s="2" t="s">
        <v>7</v>
      </c>
      <c r="C79" s="2" t="s">
        <v>74</v>
      </c>
      <c r="D79" s="19"/>
      <c r="F79" s="2"/>
    </row>
    <row r="80" spans="1:13">
      <c r="A80" t="str">
        <f t="shared" si="2"/>
        <v>step70</v>
      </c>
      <c r="B80" s="14" t="s">
        <v>145</v>
      </c>
      <c r="C80" s="15" t="s">
        <v>76</v>
      </c>
      <c r="F80" s="2"/>
    </row>
    <row r="81" spans="1:6">
      <c r="A81" t="str">
        <f t="shared" si="2"/>
        <v>step71</v>
      </c>
      <c r="B81" s="2" t="s">
        <v>73</v>
      </c>
      <c r="D81" s="11">
        <v>1000</v>
      </c>
      <c r="F81" s="2"/>
    </row>
    <row r="82" spans="1:6">
      <c r="A82" t="str">
        <f t="shared" ref="A82:A142" si="12">"step"&amp;ROW()-10</f>
        <v>step72</v>
      </c>
      <c r="B82" s="2" t="s">
        <v>52</v>
      </c>
      <c r="C82" s="5"/>
      <c r="D82" s="11" t="s">
        <v>53</v>
      </c>
      <c r="F82" s="2"/>
    </row>
    <row r="83" spans="1:6">
      <c r="A83" t="str">
        <f t="shared" si="12"/>
        <v>step73</v>
      </c>
      <c r="B83" s="14" t="s">
        <v>11</v>
      </c>
      <c r="C83" s="14" t="s">
        <v>171</v>
      </c>
      <c r="D83" s="16" t="s">
        <v>48</v>
      </c>
      <c r="E83" s="14"/>
      <c r="F83" s="14" t="s">
        <v>42</v>
      </c>
    </row>
    <row r="84" spans="1:6">
      <c r="A84" t="str">
        <f t="shared" si="12"/>
        <v>step74</v>
      </c>
      <c r="B84" s="14" t="s">
        <v>11</v>
      </c>
      <c r="C84" s="15" t="s">
        <v>12</v>
      </c>
      <c r="D84" s="16" t="s">
        <v>46</v>
      </c>
      <c r="F84" s="2"/>
    </row>
    <row r="85" spans="1:6">
      <c r="A85" t="str">
        <f t="shared" si="12"/>
        <v>step75</v>
      </c>
      <c r="B85" s="2" t="s">
        <v>136</v>
      </c>
      <c r="C85" s="5" t="s">
        <v>153</v>
      </c>
      <c r="F85" s="2" t="s">
        <v>142</v>
      </c>
    </row>
    <row r="86" spans="1:6">
      <c r="A86" t="str">
        <f t="shared" si="12"/>
        <v>step76</v>
      </c>
      <c r="B86" s="2" t="s">
        <v>73</v>
      </c>
      <c r="D86" s="11">
        <v>1</v>
      </c>
      <c r="F86" s="2"/>
    </row>
    <row r="87" spans="1:6">
      <c r="A87" t="str">
        <f t="shared" si="12"/>
        <v>step77</v>
      </c>
      <c r="B87" s="2" t="s">
        <v>136</v>
      </c>
      <c r="C87" s="5" t="s">
        <v>149</v>
      </c>
      <c r="F87" s="2" t="s">
        <v>142</v>
      </c>
    </row>
    <row r="88" spans="1:6">
      <c r="A88" t="str">
        <f t="shared" si="12"/>
        <v>step78</v>
      </c>
      <c r="B88" s="2" t="s">
        <v>73</v>
      </c>
      <c r="D88" s="11">
        <v>1</v>
      </c>
      <c r="F88" s="2"/>
    </row>
    <row r="89" spans="1:6">
      <c r="A89" t="str">
        <f t="shared" si="12"/>
        <v>step79</v>
      </c>
      <c r="B89" s="17" t="s">
        <v>147</v>
      </c>
      <c r="C89" s="18" t="s">
        <v>152</v>
      </c>
      <c r="D89" s="19"/>
      <c r="E89" s="17"/>
      <c r="F89" s="17"/>
    </row>
    <row r="90" spans="1:6">
      <c r="A90" t="str">
        <f t="shared" si="12"/>
        <v>step80</v>
      </c>
      <c r="B90" s="2" t="s">
        <v>172</v>
      </c>
      <c r="C90" s="27" t="s">
        <v>173</v>
      </c>
      <c r="F90" s="2" t="s">
        <v>141</v>
      </c>
    </row>
    <row r="91" spans="1:6">
      <c r="A91" t="str">
        <f t="shared" si="12"/>
        <v>step81</v>
      </c>
      <c r="B91" s="2" t="s">
        <v>135</v>
      </c>
      <c r="C91" s="5" t="s">
        <v>138</v>
      </c>
      <c r="D91" s="11">
        <v>2</v>
      </c>
      <c r="F91" s="2" t="s">
        <v>141</v>
      </c>
    </row>
    <row r="92" spans="1:6">
      <c r="A92" t="str">
        <f t="shared" si="12"/>
        <v>step82</v>
      </c>
      <c r="B92" s="26" t="s">
        <v>7</v>
      </c>
      <c r="C92" s="27" t="s">
        <v>160</v>
      </c>
      <c r="D92" s="28"/>
      <c r="E92" s="26"/>
      <c r="F92" s="26" t="s">
        <v>91</v>
      </c>
    </row>
    <row r="93" spans="1:6">
      <c r="A93" t="str">
        <f t="shared" si="12"/>
        <v>step83</v>
      </c>
      <c r="B93" s="26" t="s">
        <v>163</v>
      </c>
      <c r="C93" s="27" t="s">
        <v>162</v>
      </c>
      <c r="D93" s="28"/>
      <c r="E93" s="26"/>
      <c r="F93" s="26" t="s">
        <v>91</v>
      </c>
    </row>
    <row r="94" spans="1:6">
      <c r="A94" t="str">
        <f t="shared" si="12"/>
        <v>step84</v>
      </c>
      <c r="B94" s="17" t="s">
        <v>147</v>
      </c>
      <c r="C94" s="18" t="s">
        <v>148</v>
      </c>
      <c r="D94" s="19"/>
      <c r="E94" s="17"/>
      <c r="F94" s="17"/>
    </row>
    <row r="95" spans="1:6">
      <c r="A95" t="str">
        <f t="shared" si="12"/>
        <v>step85</v>
      </c>
      <c r="B95" s="2" t="s">
        <v>172</v>
      </c>
      <c r="C95" s="27" t="s">
        <v>173</v>
      </c>
      <c r="F95" s="2" t="s">
        <v>141</v>
      </c>
    </row>
    <row r="96" spans="1:6">
      <c r="A96" t="str">
        <f t="shared" si="12"/>
        <v>step86</v>
      </c>
      <c r="B96" s="2" t="s">
        <v>135</v>
      </c>
      <c r="C96" s="5" t="s">
        <v>139</v>
      </c>
      <c r="D96" s="11">
        <v>3</v>
      </c>
      <c r="F96" s="2" t="s">
        <v>140</v>
      </c>
    </row>
    <row r="97" spans="1:6">
      <c r="A97" t="str">
        <f t="shared" si="12"/>
        <v>step87</v>
      </c>
      <c r="B97" s="2" t="s">
        <v>7</v>
      </c>
      <c r="C97" s="5" t="s">
        <v>161</v>
      </c>
      <c r="F97" s="2" t="s">
        <v>137</v>
      </c>
    </row>
    <row r="98" spans="1:6">
      <c r="A98" t="str">
        <f t="shared" si="12"/>
        <v>step88</v>
      </c>
      <c r="B98" s="26" t="s">
        <v>163</v>
      </c>
      <c r="C98" s="27" t="s">
        <v>162</v>
      </c>
      <c r="D98" s="28"/>
      <c r="E98" s="26"/>
      <c r="F98" s="26" t="s">
        <v>91</v>
      </c>
    </row>
    <row r="99" spans="1:6">
      <c r="A99" t="str">
        <f t="shared" si="12"/>
        <v>step89</v>
      </c>
      <c r="B99" s="17" t="s">
        <v>147</v>
      </c>
      <c r="C99" s="18" t="s">
        <v>155</v>
      </c>
      <c r="D99" s="19"/>
      <c r="E99" s="17"/>
      <c r="F99" s="17"/>
    </row>
    <row r="100" spans="1:6">
      <c r="A100" t="str">
        <f t="shared" si="12"/>
        <v>step90</v>
      </c>
      <c r="B100" s="2" t="s">
        <v>73</v>
      </c>
      <c r="D100" s="11">
        <v>1</v>
      </c>
      <c r="F100" s="2"/>
    </row>
    <row r="101" spans="1:6">
      <c r="A101" t="str">
        <f t="shared" si="12"/>
        <v>step91</v>
      </c>
      <c r="B101" s="14" t="s">
        <v>145</v>
      </c>
      <c r="C101" s="15" t="s">
        <v>76</v>
      </c>
      <c r="F101" s="2"/>
    </row>
    <row r="102" spans="1:6">
      <c r="A102" t="str">
        <f t="shared" si="12"/>
        <v>step92</v>
      </c>
      <c r="B102" s="2" t="s">
        <v>52</v>
      </c>
      <c r="C102" s="5"/>
      <c r="D102" s="11" t="s">
        <v>53</v>
      </c>
      <c r="F102" s="2"/>
    </row>
    <row r="103" spans="1:6">
      <c r="A103" t="str">
        <f t="shared" si="12"/>
        <v>step93</v>
      </c>
      <c r="B103" s="2" t="s">
        <v>52</v>
      </c>
      <c r="C103" s="5"/>
      <c r="D103" s="11" t="s">
        <v>53</v>
      </c>
      <c r="F103" s="2"/>
    </row>
    <row r="104" spans="1:6">
      <c r="A104" t="str">
        <f t="shared" si="12"/>
        <v>step94</v>
      </c>
      <c r="B104" s="2" t="s">
        <v>73</v>
      </c>
      <c r="D104" s="11">
        <v>1</v>
      </c>
      <c r="F104" s="2"/>
    </row>
    <row r="105" spans="1:6">
      <c r="A105" t="str">
        <f t="shared" si="12"/>
        <v>step95</v>
      </c>
      <c r="B105" s="2" t="s">
        <v>1</v>
      </c>
      <c r="C105" s="2" t="s">
        <v>93</v>
      </c>
      <c r="F105" s="2" t="s">
        <v>96</v>
      </c>
    </row>
    <row r="106" spans="1:6">
      <c r="A106" t="str">
        <f t="shared" si="12"/>
        <v>step96</v>
      </c>
      <c r="B106" s="2" t="s">
        <v>9</v>
      </c>
      <c r="C106" s="5"/>
      <c r="D106" s="11">
        <v>1</v>
      </c>
      <c r="E106" s="5"/>
      <c r="F106" s="5"/>
    </row>
    <row r="107" spans="1:6">
      <c r="A107" t="str">
        <f t="shared" si="12"/>
        <v>step97</v>
      </c>
      <c r="B107" s="17" t="s">
        <v>147</v>
      </c>
      <c r="C107" s="18" t="s">
        <v>165</v>
      </c>
      <c r="D107" s="19"/>
      <c r="E107" s="17"/>
      <c r="F107" s="17"/>
    </row>
    <row r="108" spans="1:6">
      <c r="A108" s="20" t="str">
        <f t="shared" si="12"/>
        <v>step98</v>
      </c>
      <c r="B108" s="2" t="s">
        <v>1</v>
      </c>
      <c r="C108" s="25" t="s">
        <v>164</v>
      </c>
      <c r="F108" s="2" t="s">
        <v>95</v>
      </c>
    </row>
    <row r="109" spans="1:6">
      <c r="A109" s="20" t="str">
        <f t="shared" si="12"/>
        <v>step99</v>
      </c>
      <c r="B109" s="2" t="s">
        <v>73</v>
      </c>
      <c r="D109" s="11">
        <v>1</v>
      </c>
      <c r="F109" s="2"/>
    </row>
    <row r="110" spans="1:6">
      <c r="A110" s="20" t="str">
        <f t="shared" si="12"/>
        <v>step100</v>
      </c>
      <c r="B110" s="14" t="s">
        <v>11</v>
      </c>
      <c r="C110" s="15" t="s">
        <v>12</v>
      </c>
      <c r="D110" s="16" t="s">
        <v>46</v>
      </c>
      <c r="E110" s="18"/>
      <c r="F110" s="18"/>
    </row>
    <row r="111" spans="1:6">
      <c r="A111" s="20" t="str">
        <f t="shared" si="12"/>
        <v>step101</v>
      </c>
      <c r="B111" s="14" t="s">
        <v>11</v>
      </c>
      <c r="C111" s="15" t="s">
        <v>12</v>
      </c>
      <c r="D111" s="16">
        <v>1</v>
      </c>
      <c r="E111" s="14"/>
      <c r="F111" s="14" t="s">
        <v>134</v>
      </c>
    </row>
    <row r="112" spans="1:6">
      <c r="A112" s="20" t="str">
        <f t="shared" si="12"/>
        <v>step102</v>
      </c>
      <c r="B112" s="17" t="s">
        <v>157</v>
      </c>
      <c r="C112" s="18" t="s">
        <v>158</v>
      </c>
      <c r="D112" s="11" t="str">
        <f ca="1">$D$3</f>
        <v>1800_Entertainment-Sales &amp; Mktg Mgmt--2021-04-06-1</v>
      </c>
      <c r="F112" s="2" t="s">
        <v>133</v>
      </c>
    </row>
    <row r="113" spans="1:6">
      <c r="A113" s="20" t="str">
        <f t="shared" si="12"/>
        <v>step103</v>
      </c>
      <c r="B113" s="17" t="s">
        <v>7</v>
      </c>
      <c r="C113" s="18" t="s">
        <v>100</v>
      </c>
      <c r="D113" s="11" t="str">
        <f ca="1">$D$3</f>
        <v>1800_Entertainment-Sales &amp; Mktg Mgmt--2021-04-06-1</v>
      </c>
      <c r="F113" s="2" t="s">
        <v>87</v>
      </c>
    </row>
    <row r="114" spans="1:6">
      <c r="A114" s="20" t="str">
        <f t="shared" si="12"/>
        <v>step104</v>
      </c>
      <c r="B114" s="17" t="s">
        <v>9</v>
      </c>
      <c r="C114" s="18"/>
      <c r="D114" s="19">
        <v>1</v>
      </c>
      <c r="E114" s="18"/>
      <c r="F114" s="18"/>
    </row>
    <row r="115" spans="1:6">
      <c r="A115" s="20" t="str">
        <f t="shared" si="12"/>
        <v>step105</v>
      </c>
      <c r="B115" s="14" t="s">
        <v>11</v>
      </c>
      <c r="C115" s="15" t="s">
        <v>30</v>
      </c>
      <c r="D115" s="16"/>
      <c r="E115" s="18"/>
      <c r="F115" s="18" t="s">
        <v>51</v>
      </c>
    </row>
    <row r="116" spans="1:6">
      <c r="A116" s="20" t="str">
        <f t="shared" si="12"/>
        <v>step106</v>
      </c>
      <c r="B116" s="14" t="s">
        <v>11</v>
      </c>
      <c r="C116" s="15" t="s">
        <v>12</v>
      </c>
      <c r="D116" s="16">
        <v>0</v>
      </c>
      <c r="E116" s="14"/>
      <c r="F116" s="14"/>
    </row>
    <row r="117" spans="1:6">
      <c r="A117" s="20" t="str">
        <f t="shared" si="12"/>
        <v>step107</v>
      </c>
      <c r="B117" s="14" t="s">
        <v>11</v>
      </c>
      <c r="C117" s="15" t="s">
        <v>12</v>
      </c>
      <c r="D117" s="16">
        <v>1</v>
      </c>
      <c r="E117" s="14"/>
      <c r="F117" s="14"/>
    </row>
    <row r="118" spans="1:6">
      <c r="A118" t="str">
        <f t="shared" si="12"/>
        <v>step108</v>
      </c>
      <c r="B118" s="17" t="s">
        <v>33</v>
      </c>
      <c r="C118" s="17" t="s">
        <v>99</v>
      </c>
      <c r="D118" s="19" t="str">
        <f ca="1" xml:space="preserve"> C118&amp;":"&amp;$D$3&amp;":OK"</f>
        <v>name=receive_comment:1800_Entertainment-Sales &amp; Mktg Mgmt--2021-04-06-1:OK</v>
      </c>
      <c r="E118" s="17"/>
      <c r="F118" s="17"/>
    </row>
    <row r="119" spans="1:6">
      <c r="A119" s="20" t="str">
        <f t="shared" si="12"/>
        <v>step109</v>
      </c>
      <c r="B119" s="2" t="s">
        <v>7</v>
      </c>
      <c r="C119" s="2" t="s">
        <v>74</v>
      </c>
      <c r="F119" s="2"/>
    </row>
    <row r="120" spans="1:6">
      <c r="A120" s="20" t="str">
        <f t="shared" si="12"/>
        <v>step110</v>
      </c>
      <c r="B120" s="14" t="s">
        <v>146</v>
      </c>
      <c r="C120" s="15" t="s">
        <v>76</v>
      </c>
      <c r="F120" s="2"/>
    </row>
    <row r="121" spans="1:6">
      <c r="A121" s="20" t="str">
        <f t="shared" si="12"/>
        <v>step111</v>
      </c>
      <c r="B121" s="2" t="s">
        <v>52</v>
      </c>
      <c r="C121" s="5"/>
      <c r="D121" s="11" t="s">
        <v>53</v>
      </c>
      <c r="F121" s="2"/>
    </row>
    <row r="122" spans="1:6">
      <c r="A122" t="str">
        <f t="shared" si="12"/>
        <v>step112</v>
      </c>
      <c r="B122" s="26" t="s">
        <v>163</v>
      </c>
      <c r="C122" s="27" t="s">
        <v>166</v>
      </c>
      <c r="D122" s="28"/>
      <c r="E122" s="26"/>
      <c r="F122" s="26" t="s">
        <v>91</v>
      </c>
    </row>
    <row r="123" spans="1:6">
      <c r="A123" t="str">
        <f t="shared" si="12"/>
        <v>step113</v>
      </c>
      <c r="B123" s="17" t="s">
        <v>147</v>
      </c>
      <c r="C123" s="18" t="s">
        <v>156</v>
      </c>
      <c r="D123" s="19"/>
      <c r="E123" s="17"/>
      <c r="F123" s="17"/>
    </row>
    <row r="124" spans="1:6">
      <c r="A124" t="str">
        <f t="shared" si="12"/>
        <v>step114</v>
      </c>
      <c r="B124" s="14" t="s">
        <v>11</v>
      </c>
      <c r="C124" s="14" t="s">
        <v>171</v>
      </c>
      <c r="D124" s="16" t="s">
        <v>48</v>
      </c>
      <c r="E124" s="14"/>
      <c r="F124" s="14" t="s">
        <v>42</v>
      </c>
    </row>
    <row r="125" spans="1:6">
      <c r="A125" s="20" t="str">
        <f t="shared" si="12"/>
        <v>step115</v>
      </c>
      <c r="B125" s="2" t="s">
        <v>1</v>
      </c>
      <c r="C125" s="2" t="s">
        <v>125</v>
      </c>
      <c r="F125" s="2" t="s">
        <v>126</v>
      </c>
    </row>
    <row r="126" spans="1:6">
      <c r="A126" s="20" t="str">
        <f t="shared" si="12"/>
        <v>step116</v>
      </c>
      <c r="B126" s="14" t="s">
        <v>11</v>
      </c>
      <c r="C126" s="15" t="s">
        <v>12</v>
      </c>
      <c r="D126" s="16" t="s">
        <v>46</v>
      </c>
      <c r="E126" s="18"/>
      <c r="F126" s="18"/>
    </row>
    <row r="127" spans="1:6">
      <c r="A127" s="20" t="str">
        <f t="shared" si="12"/>
        <v>step117</v>
      </c>
      <c r="B127" s="14" t="s">
        <v>11</v>
      </c>
      <c r="C127" s="15" t="s">
        <v>12</v>
      </c>
      <c r="D127" s="16">
        <v>1</v>
      </c>
      <c r="E127" s="14"/>
      <c r="F127" s="14" t="s">
        <v>134</v>
      </c>
    </row>
    <row r="128" spans="1:6">
      <c r="A128" s="20" t="str">
        <f t="shared" si="12"/>
        <v>step118</v>
      </c>
      <c r="B128" s="17" t="s">
        <v>68</v>
      </c>
      <c r="C128" s="18" t="s">
        <v>186</v>
      </c>
      <c r="D128" s="11" t="str">
        <f ca="1">$D$3</f>
        <v>1800_Entertainment-Sales &amp; Mktg Mgmt--2021-04-06-1</v>
      </c>
      <c r="F128" s="2" t="s">
        <v>174</v>
      </c>
    </row>
    <row r="129" spans="1:6">
      <c r="A129" s="20" t="str">
        <f t="shared" si="12"/>
        <v>step119</v>
      </c>
      <c r="B129" s="17" t="s">
        <v>9</v>
      </c>
      <c r="C129" s="18"/>
      <c r="D129" s="19">
        <v>1000</v>
      </c>
      <c r="E129" s="18"/>
      <c r="F129" s="18"/>
    </row>
    <row r="130" spans="1:6">
      <c r="A130" t="str">
        <f t="shared" si="12"/>
        <v>step120</v>
      </c>
      <c r="B130" s="2" t="s">
        <v>7</v>
      </c>
      <c r="C130" s="2" t="s">
        <v>41</v>
      </c>
      <c r="F130" s="2"/>
    </row>
    <row r="131" spans="1:6">
      <c r="A131" t="str">
        <f t="shared" si="12"/>
        <v>step121</v>
      </c>
      <c r="B131" s="14" t="s">
        <v>11</v>
      </c>
      <c r="C131" s="14" t="s">
        <v>171</v>
      </c>
      <c r="D131" s="16" t="s">
        <v>48</v>
      </c>
      <c r="E131" s="14"/>
      <c r="F131" s="14" t="s">
        <v>42</v>
      </c>
    </row>
    <row r="132" spans="1:6">
      <c r="A132" t="str">
        <f t="shared" si="12"/>
        <v>step122</v>
      </c>
      <c r="B132" s="2" t="s">
        <v>1</v>
      </c>
      <c r="C132" s="2" t="s">
        <v>125</v>
      </c>
      <c r="F132" s="2" t="s">
        <v>126</v>
      </c>
    </row>
    <row r="133" spans="1:6">
      <c r="A133" s="20" t="str">
        <f t="shared" si="12"/>
        <v>step123</v>
      </c>
      <c r="B133" s="14" t="s">
        <v>11</v>
      </c>
      <c r="C133" s="15" t="s">
        <v>12</v>
      </c>
      <c r="D133" s="16" t="s">
        <v>46</v>
      </c>
      <c r="E133" s="18"/>
      <c r="F133" s="18"/>
    </row>
    <row r="134" spans="1:6">
      <c r="A134" s="20" t="str">
        <f t="shared" si="12"/>
        <v>step124</v>
      </c>
      <c r="B134" s="14" t="s">
        <v>11</v>
      </c>
      <c r="C134" s="15" t="s">
        <v>12</v>
      </c>
      <c r="D134" s="16">
        <v>1</v>
      </c>
      <c r="E134" s="14"/>
      <c r="F134" s="14" t="s">
        <v>134</v>
      </c>
    </row>
    <row r="135" spans="1:6">
      <c r="A135" s="20" t="str">
        <f t="shared" si="12"/>
        <v>step125</v>
      </c>
      <c r="B135" s="17" t="s">
        <v>68</v>
      </c>
      <c r="C135" s="18" t="s">
        <v>185</v>
      </c>
      <c r="D135" s="11" t="str">
        <f ca="1">$D$3</f>
        <v>1800_Entertainment-Sales &amp; Mktg Mgmt--2021-04-06-1</v>
      </c>
      <c r="F135" s="2" t="s">
        <v>170</v>
      </c>
    </row>
    <row r="136" spans="1:6">
      <c r="A136" s="20" t="str">
        <f t="shared" si="12"/>
        <v>step126</v>
      </c>
      <c r="B136" s="17" t="s">
        <v>9</v>
      </c>
      <c r="C136" s="18"/>
      <c r="D136" s="19">
        <v>1000</v>
      </c>
      <c r="E136" s="18"/>
      <c r="F136" s="18"/>
    </row>
    <row r="137" spans="1:6">
      <c r="A137" t="str">
        <f t="shared" si="12"/>
        <v>step127</v>
      </c>
      <c r="B137" s="2" t="s">
        <v>7</v>
      </c>
      <c r="C137" s="2" t="s">
        <v>41</v>
      </c>
      <c r="F137" s="2"/>
    </row>
    <row r="138" spans="1:6">
      <c r="A138" t="str">
        <f t="shared" si="12"/>
        <v>step128</v>
      </c>
      <c r="B138" s="14" t="s">
        <v>11</v>
      </c>
      <c r="C138" s="14" t="s">
        <v>171</v>
      </c>
      <c r="D138" s="16" t="s">
        <v>48</v>
      </c>
      <c r="E138" s="14"/>
      <c r="F138" s="14" t="s">
        <v>42</v>
      </c>
    </row>
    <row r="139" spans="1:6">
      <c r="A139" s="20" t="str">
        <f t="shared" si="12"/>
        <v>step129</v>
      </c>
      <c r="B139" s="2" t="s">
        <v>1</v>
      </c>
      <c r="C139" s="2" t="s">
        <v>127</v>
      </c>
      <c r="F139" s="2" t="s">
        <v>128</v>
      </c>
    </row>
    <row r="140" spans="1:6">
      <c r="A140" t="str">
        <f t="shared" si="12"/>
        <v>step130</v>
      </c>
      <c r="B140" s="2" t="s">
        <v>136</v>
      </c>
      <c r="C140" s="5" t="s">
        <v>151</v>
      </c>
      <c r="F140" s="2" t="s">
        <v>154</v>
      </c>
    </row>
    <row r="141" spans="1:6">
      <c r="A141" s="20" t="str">
        <f t="shared" si="12"/>
        <v>step131</v>
      </c>
      <c r="B141" s="2" t="s">
        <v>1</v>
      </c>
      <c r="C141" s="25" t="s">
        <v>130</v>
      </c>
      <c r="F141" s="2" t="s">
        <v>131</v>
      </c>
    </row>
    <row r="142" spans="1:6">
      <c r="A142" s="20" t="str">
        <f t="shared" si="12"/>
        <v>step132</v>
      </c>
      <c r="B142" s="2" t="s">
        <v>129</v>
      </c>
      <c r="F142" s="2"/>
    </row>
  </sheetData>
  <phoneticPr fontId="1"/>
  <conditionalFormatting sqref="F78 B55:D55 B136:D136 B48:D48 F48 B114:D114 B116:D117 B111:D111 B129:D129 B127:D127 B134:D134 F134 F127 F129 F111 F116:F117 F114 F136 F55">
    <cfRule type="expression" dxfId="361" priority="359">
      <formula>$B48="switchTo"</formula>
    </cfRule>
    <cfRule type="expression" dxfId="360" priority="360">
      <formula>$B48="wait"</formula>
    </cfRule>
  </conditionalFormatting>
  <conditionalFormatting sqref="B73">
    <cfRule type="expression" dxfId="359" priority="357">
      <formula>$B73="switchTo"</formula>
    </cfRule>
    <cfRule type="expression" dxfId="358" priority="358">
      <formula>$B73="wait"</formula>
    </cfRule>
  </conditionalFormatting>
  <conditionalFormatting sqref="B77:C77 F77">
    <cfRule type="expression" dxfId="357" priority="355">
      <formula>$B77="switchTo"</formula>
    </cfRule>
    <cfRule type="expression" dxfId="356" priority="356">
      <formula>$B77="wait"</formula>
    </cfRule>
  </conditionalFormatting>
  <conditionalFormatting sqref="D77">
    <cfRule type="expression" dxfId="355" priority="353">
      <formula>$B77="switchTo"</formula>
    </cfRule>
    <cfRule type="expression" dxfId="354" priority="354">
      <formula>$B77="wait"</formula>
    </cfRule>
  </conditionalFormatting>
  <conditionalFormatting sqref="D66">
    <cfRule type="expression" dxfId="353" priority="351">
      <formula>$B66="switchTo"</formula>
    </cfRule>
    <cfRule type="expression" dxfId="352" priority="352">
      <formula>$B66="wait"</formula>
    </cfRule>
  </conditionalFormatting>
  <conditionalFormatting sqref="D22">
    <cfRule type="expression" dxfId="351" priority="349">
      <formula>$B22="switchTo"</formula>
    </cfRule>
    <cfRule type="expression" dxfId="350" priority="350">
      <formula>$B22="wait"</formula>
    </cfRule>
  </conditionalFormatting>
  <conditionalFormatting sqref="B49:D49">
    <cfRule type="expression" dxfId="349" priority="347">
      <formula>$B49="switchTo"</formula>
    </cfRule>
    <cfRule type="expression" dxfId="348" priority="348">
      <formula>$B49="wait"</formula>
    </cfRule>
  </conditionalFormatting>
  <conditionalFormatting sqref="F49">
    <cfRule type="expression" dxfId="347" priority="345">
      <formula>$B49="switchTo"</formula>
    </cfRule>
    <cfRule type="expression" dxfId="346" priority="346">
      <formula>$B49="wait"</formula>
    </cfRule>
  </conditionalFormatting>
  <conditionalFormatting sqref="B96:D96 B143:E150 B11:D25 D119 B114:D118 F114:F119 B139:D139 B141:D142 B111:D112 F111:F112 D85 D140 D87 B31:D34 B86:D86 B88:D89 F85:F89 B92:D94 F92:F94 D98 B122:D125 F122:F125 B99:D108 F97:F108 B129:D130 D131 B132:D132 F129:F132 B127:D127 F127 B134:D134 F134 B136:D137 F46:F83 D138 F136:F142 B28:D28 D29:D30 D26 F28:F34 F11:F26 B46:D83">
    <cfRule type="expression" dxfId="345" priority="344">
      <formula>$B11="popup"</formula>
    </cfRule>
    <cfRule type="expression" dxfId="344" priority="361">
      <formula>$B11="switchTo"</formula>
    </cfRule>
    <cfRule type="expression" dxfId="343" priority="362">
      <formula>$B11="wait"</formula>
    </cfRule>
  </conditionalFormatting>
  <conditionalFormatting sqref="B84 F84">
    <cfRule type="expression" dxfId="342" priority="341">
      <formula>$B84="popup"</formula>
    </cfRule>
    <cfRule type="expression" dxfId="341" priority="342">
      <formula>$B84="switchTo"</formula>
    </cfRule>
    <cfRule type="expression" dxfId="340" priority="343">
      <formula>$B84="wait"</formula>
    </cfRule>
  </conditionalFormatting>
  <conditionalFormatting sqref="D84">
    <cfRule type="expression" dxfId="339" priority="337">
      <formula>$B84="switchTo"</formula>
    </cfRule>
    <cfRule type="expression" dxfId="338" priority="338">
      <formula>$B84="wait"</formula>
    </cfRule>
  </conditionalFormatting>
  <conditionalFormatting sqref="C84:D84">
    <cfRule type="expression" dxfId="337" priority="336">
      <formula>$B84="popup"</formula>
    </cfRule>
    <cfRule type="expression" dxfId="336" priority="339">
      <formula>$B84="switchTo"</formula>
    </cfRule>
    <cfRule type="expression" dxfId="335" priority="340">
      <formula>$B84="wait"</formula>
    </cfRule>
  </conditionalFormatting>
  <conditionalFormatting sqref="F121">
    <cfRule type="expression" dxfId="334" priority="333">
      <formula>$B121="popup"</formula>
    </cfRule>
    <cfRule type="expression" dxfId="333" priority="334">
      <formula>$B121="switchTo"</formula>
    </cfRule>
    <cfRule type="expression" dxfId="332" priority="335">
      <formula>$B121="wait"</formula>
    </cfRule>
  </conditionalFormatting>
  <conditionalFormatting sqref="F120">
    <cfRule type="expression" dxfId="331" priority="330">
      <formula>$B120="popup"</formula>
    </cfRule>
    <cfRule type="expression" dxfId="330" priority="331">
      <formula>$B120="switchTo"</formula>
    </cfRule>
    <cfRule type="expression" dxfId="329" priority="332">
      <formula>$B120="wait"</formula>
    </cfRule>
  </conditionalFormatting>
  <conditionalFormatting sqref="F109">
    <cfRule type="expression" dxfId="328" priority="327">
      <formula>$B109="popup"</formula>
    </cfRule>
    <cfRule type="expression" dxfId="327" priority="328">
      <formula>$B109="switchTo"</formula>
    </cfRule>
    <cfRule type="expression" dxfId="326" priority="329">
      <formula>$B109="wait"</formula>
    </cfRule>
  </conditionalFormatting>
  <conditionalFormatting sqref="B109:C109">
    <cfRule type="expression" dxfId="325" priority="324">
      <formula>$B109="popup"</formula>
    </cfRule>
    <cfRule type="expression" dxfId="324" priority="325">
      <formula>$B109="switchTo"</formula>
    </cfRule>
    <cfRule type="expression" dxfId="323" priority="326">
      <formula>$B109="wait"</formula>
    </cfRule>
  </conditionalFormatting>
  <conditionalFormatting sqref="D109">
    <cfRule type="expression" dxfId="322" priority="321">
      <formula>$B109="popup"</formula>
    </cfRule>
    <cfRule type="expression" dxfId="321" priority="322">
      <formula>$B109="switchTo"</formula>
    </cfRule>
    <cfRule type="expression" dxfId="320" priority="323">
      <formula>$B109="wait"</formula>
    </cfRule>
  </conditionalFormatting>
  <conditionalFormatting sqref="B113:C113 F113">
    <cfRule type="expression" dxfId="319" priority="318">
      <formula>$B113="popup"</formula>
    </cfRule>
    <cfRule type="expression" dxfId="318" priority="319">
      <formula>$B113="switchTo"</formula>
    </cfRule>
    <cfRule type="expression" dxfId="317" priority="320">
      <formula>$B113="wait"</formula>
    </cfRule>
  </conditionalFormatting>
  <conditionalFormatting sqref="D113">
    <cfRule type="expression" dxfId="316" priority="315">
      <formula>$B113="popup"</formula>
    </cfRule>
    <cfRule type="expression" dxfId="315" priority="316">
      <formula>$B113="switchTo"</formula>
    </cfRule>
    <cfRule type="expression" dxfId="314" priority="317">
      <formula>$B113="wait"</formula>
    </cfRule>
  </conditionalFormatting>
  <conditionalFormatting sqref="B119:C119">
    <cfRule type="expression" dxfId="313" priority="312">
      <formula>$B119="popup"</formula>
    </cfRule>
    <cfRule type="expression" dxfId="312" priority="313">
      <formula>$B119="switchTo"</formula>
    </cfRule>
    <cfRule type="expression" dxfId="311" priority="314">
      <formula>$B119="wait"</formula>
    </cfRule>
  </conditionalFormatting>
  <conditionalFormatting sqref="B120:D121">
    <cfRule type="expression" dxfId="310" priority="309">
      <formula>$B120="popup"</formula>
    </cfRule>
    <cfRule type="expression" dxfId="309" priority="310">
      <formula>$B120="switchTo"</formula>
    </cfRule>
    <cfRule type="expression" dxfId="308" priority="311">
      <formula>$B120="wait"</formula>
    </cfRule>
  </conditionalFormatting>
  <conditionalFormatting sqref="C110">
    <cfRule type="expression" dxfId="307" priority="302">
      <formula>$B110="switchTo"</formula>
    </cfRule>
    <cfRule type="expression" dxfId="306" priority="303">
      <formula>$B110="wait"</formula>
    </cfRule>
  </conditionalFormatting>
  <conditionalFormatting sqref="B110 F110">
    <cfRule type="expression" dxfId="305" priority="306">
      <formula>$B110="popup"</formula>
    </cfRule>
    <cfRule type="expression" dxfId="304" priority="307">
      <formula>$B110="switchTo"</formula>
    </cfRule>
    <cfRule type="expression" dxfId="303" priority="308">
      <formula>$B110="wait"</formula>
    </cfRule>
  </conditionalFormatting>
  <conditionalFormatting sqref="C110">
    <cfRule type="expression" dxfId="302" priority="301">
      <formula>$B110="popup"</formula>
    </cfRule>
    <cfRule type="expression" dxfId="301" priority="304">
      <formula>$B110="switchTo"</formula>
    </cfRule>
    <cfRule type="expression" dxfId="300" priority="305">
      <formula>$B110="wait"</formula>
    </cfRule>
  </conditionalFormatting>
  <conditionalFormatting sqref="D110">
    <cfRule type="expression" dxfId="299" priority="297">
      <formula>$B110="switchTo"</formula>
    </cfRule>
    <cfRule type="expression" dxfId="298" priority="298">
      <formula>$B110="wait"</formula>
    </cfRule>
  </conditionalFormatting>
  <conditionalFormatting sqref="D110">
    <cfRule type="expression" dxfId="297" priority="296">
      <formula>$B110="popup"</formula>
    </cfRule>
    <cfRule type="expression" dxfId="296" priority="299">
      <formula>$B110="switchTo"</formula>
    </cfRule>
    <cfRule type="expression" dxfId="295" priority="300">
      <formula>$B110="wait"</formula>
    </cfRule>
  </conditionalFormatting>
  <conditionalFormatting sqref="B85">
    <cfRule type="expression" dxfId="294" priority="293">
      <formula>$B85="popup"</formula>
    </cfRule>
    <cfRule type="expression" dxfId="293" priority="294">
      <formula>$B85="switchTo"</formula>
    </cfRule>
    <cfRule type="expression" dxfId="292" priority="295">
      <formula>$B85="wait"</formula>
    </cfRule>
  </conditionalFormatting>
  <conditionalFormatting sqref="B97 D97">
    <cfRule type="expression" dxfId="291" priority="290">
      <formula>$B97="popup"</formula>
    </cfRule>
    <cfRule type="expression" dxfId="290" priority="291">
      <formula>$B97="switchTo"</formula>
    </cfRule>
    <cfRule type="expression" dxfId="289" priority="292">
      <formula>$B97="wait"</formula>
    </cfRule>
  </conditionalFormatting>
  <conditionalFormatting sqref="C97">
    <cfRule type="expression" dxfId="288" priority="287">
      <formula>$B97="popup"</formula>
    </cfRule>
    <cfRule type="expression" dxfId="287" priority="288">
      <formula>$B97="switchTo"</formula>
    </cfRule>
    <cfRule type="expression" dxfId="286" priority="289">
      <formula>$B97="wait"</formula>
    </cfRule>
  </conditionalFormatting>
  <conditionalFormatting sqref="C85">
    <cfRule type="expression" dxfId="285" priority="284">
      <formula>$B85="popup"</formula>
    </cfRule>
    <cfRule type="expression" dxfId="284" priority="285">
      <formula>$B85="switchTo"</formula>
    </cfRule>
    <cfRule type="expression" dxfId="283" priority="286">
      <formula>$B85="wait"</formula>
    </cfRule>
  </conditionalFormatting>
  <conditionalFormatting sqref="F96">
    <cfRule type="expression" dxfId="282" priority="281">
      <formula>$B96="popup"</formula>
    </cfRule>
    <cfRule type="expression" dxfId="281" priority="282">
      <formula>$B96="switchTo"</formula>
    </cfRule>
    <cfRule type="expression" dxfId="280" priority="283">
      <formula>$B96="wait"</formula>
    </cfRule>
  </conditionalFormatting>
  <conditionalFormatting sqref="B140">
    <cfRule type="expression" dxfId="279" priority="278">
      <formula>$B140="popup"</formula>
    </cfRule>
    <cfRule type="expression" dxfId="278" priority="279">
      <formula>$B140="switchTo"</formula>
    </cfRule>
    <cfRule type="expression" dxfId="277" priority="280">
      <formula>$B140="wait"</formula>
    </cfRule>
  </conditionalFormatting>
  <conditionalFormatting sqref="C140">
    <cfRule type="expression" dxfId="276" priority="275">
      <formula>$B140="popup"</formula>
    </cfRule>
    <cfRule type="expression" dxfId="275" priority="276">
      <formula>$B140="switchTo"</formula>
    </cfRule>
    <cfRule type="expression" dxfId="274" priority="277">
      <formula>$B140="wait"</formula>
    </cfRule>
  </conditionalFormatting>
  <conditionalFormatting sqref="B11:D25 B91:D94 B99:D127 B143:E237 B139:D142 B96:D97 B31:D34 D98 D128 D131 B129:D130 B132:D134 B136:D137 D138 D90 D95 B28:D28 D29:D30 D26 F28:F34 F136:F142 F36:F134 F11:F26 B36:D89">
    <cfRule type="expression" dxfId="273" priority="274">
      <formula>$B11="label"</formula>
    </cfRule>
  </conditionalFormatting>
  <conditionalFormatting sqref="F91">
    <cfRule type="expression" dxfId="272" priority="268">
      <formula>$B91="popup"</formula>
    </cfRule>
    <cfRule type="expression" dxfId="271" priority="269">
      <formula>$B91="switchTo"</formula>
    </cfRule>
    <cfRule type="expression" dxfId="270" priority="270">
      <formula>$B91="wait"</formula>
    </cfRule>
  </conditionalFormatting>
  <conditionalFormatting sqref="B91:D91">
    <cfRule type="expression" dxfId="269" priority="271">
      <formula>$B91="popup"</formula>
    </cfRule>
    <cfRule type="expression" dxfId="268" priority="272">
      <formula>$B91="switchTo"</formula>
    </cfRule>
    <cfRule type="expression" dxfId="267" priority="273">
      <formula>$B91="wait"</formula>
    </cfRule>
  </conditionalFormatting>
  <conditionalFormatting sqref="B87">
    <cfRule type="expression" dxfId="266" priority="265">
      <formula>$B87="popup"</formula>
    </cfRule>
    <cfRule type="expression" dxfId="265" priority="266">
      <formula>$B87="switchTo"</formula>
    </cfRule>
    <cfRule type="expression" dxfId="264" priority="267">
      <formula>$B87="wait"</formula>
    </cfRule>
  </conditionalFormatting>
  <conditionalFormatting sqref="C87">
    <cfRule type="expression" dxfId="263" priority="262">
      <formula>$B87="popup"</formula>
    </cfRule>
    <cfRule type="expression" dxfId="262" priority="263">
      <formula>$B87="switchTo"</formula>
    </cfRule>
    <cfRule type="expression" dxfId="261" priority="264">
      <formula>$B87="wait"</formula>
    </cfRule>
  </conditionalFormatting>
  <conditionalFormatting sqref="F34">
    <cfRule type="expression" dxfId="260" priority="258">
      <formula>$B34="switchTo"</formula>
    </cfRule>
    <cfRule type="expression" dxfId="259" priority="259">
      <formula>$B34="wait"</formula>
    </cfRule>
  </conditionalFormatting>
  <conditionalFormatting sqref="C36">
    <cfRule type="expression" dxfId="258" priority="254">
      <formula>$B36="switchTo"</formula>
    </cfRule>
    <cfRule type="expression" dxfId="257" priority="255">
      <formula>$B36="wait"</formula>
    </cfRule>
  </conditionalFormatting>
  <conditionalFormatting sqref="D37">
    <cfRule type="expression" dxfId="256" priority="256">
      <formula>$B37="switchTo"</formula>
    </cfRule>
    <cfRule type="expression" dxfId="255" priority="257">
      <formula>$B37="wait"</formula>
    </cfRule>
  </conditionalFormatting>
  <conditionalFormatting sqref="D38:D45">
    <cfRule type="expression" dxfId="254" priority="252">
      <formula>$B38="switchTo"</formula>
    </cfRule>
    <cfRule type="expression" dxfId="253" priority="253">
      <formula>$B38="wait"</formula>
    </cfRule>
  </conditionalFormatting>
  <conditionalFormatting sqref="D36:D45">
    <cfRule type="expression" dxfId="252" priority="250">
      <formula>$B36="switchTo"</formula>
    </cfRule>
    <cfRule type="expression" dxfId="251" priority="251">
      <formula>$B36="wait"</formula>
    </cfRule>
  </conditionalFormatting>
  <conditionalFormatting sqref="B36">
    <cfRule type="expression" dxfId="250" priority="248">
      <formula>$B36="switchTo"</formula>
    </cfRule>
    <cfRule type="expression" dxfId="249" priority="249">
      <formula>$B36="wait"</formula>
    </cfRule>
  </conditionalFormatting>
  <conditionalFormatting sqref="B36:D45">
    <cfRule type="expression" dxfId="248" priority="247">
      <formula>$B36="popup"</formula>
    </cfRule>
    <cfRule type="expression" dxfId="247" priority="260">
      <formula>$B36="switchTo"</formula>
    </cfRule>
    <cfRule type="expression" dxfId="246" priority="261">
      <formula>$B36="wait"</formula>
    </cfRule>
  </conditionalFormatting>
  <conditionalFormatting sqref="B35:C35 F35">
    <cfRule type="expression" dxfId="245" priority="243">
      <formula>$B35="switchTo"</formula>
    </cfRule>
    <cfRule type="expression" dxfId="244" priority="244">
      <formula>$B35="wait"</formula>
    </cfRule>
  </conditionalFormatting>
  <conditionalFormatting sqref="B35:C35 F35">
    <cfRule type="expression" dxfId="243" priority="242">
      <formula>$B35="popup"</formula>
    </cfRule>
    <cfRule type="expression" dxfId="242" priority="245">
      <formula>$B35="switchTo"</formula>
    </cfRule>
    <cfRule type="expression" dxfId="241" priority="246">
      <formula>$B35="wait"</formula>
    </cfRule>
  </conditionalFormatting>
  <conditionalFormatting sqref="B35:C35 F35">
    <cfRule type="expression" dxfId="240" priority="241">
      <formula>$B35="label"</formula>
    </cfRule>
  </conditionalFormatting>
  <conditionalFormatting sqref="D35">
    <cfRule type="expression" dxfId="239" priority="238">
      <formula>$B35="popup"</formula>
    </cfRule>
    <cfRule type="expression" dxfId="238" priority="239">
      <formula>$B35="switchTo"</formula>
    </cfRule>
    <cfRule type="expression" dxfId="237" priority="240">
      <formula>$B35="wait"</formula>
    </cfRule>
  </conditionalFormatting>
  <conditionalFormatting sqref="D35">
    <cfRule type="expression" dxfId="236" priority="237">
      <formula>$B35="label"</formula>
    </cfRule>
  </conditionalFormatting>
  <conditionalFormatting sqref="B83">
    <cfRule type="expression" dxfId="235" priority="226">
      <formula>$B83="popup"</formula>
    </cfRule>
    <cfRule type="expression" dxfId="234" priority="227">
      <formula>$B83="switchTo"</formula>
    </cfRule>
    <cfRule type="expression" dxfId="233" priority="228">
      <formula>$B83="wait"</formula>
    </cfRule>
  </conditionalFormatting>
  <conditionalFormatting sqref="C98">
    <cfRule type="expression" dxfId="232" priority="234">
      <formula>$B98="popup"</formula>
    </cfRule>
    <cfRule type="expression" dxfId="231" priority="235">
      <formula>$B98="switchTo"</formula>
    </cfRule>
    <cfRule type="expression" dxfId="230" priority="236">
      <formula>$B98="wait"</formula>
    </cfRule>
  </conditionalFormatting>
  <conditionalFormatting sqref="C98">
    <cfRule type="expression" dxfId="229" priority="233">
      <formula>$B98="label"</formula>
    </cfRule>
  </conditionalFormatting>
  <conditionalFormatting sqref="B98">
    <cfRule type="expression" dxfId="228" priority="230">
      <formula>$B98="popup"</formula>
    </cfRule>
    <cfRule type="expression" dxfId="227" priority="231">
      <formula>$B98="switchTo"</formula>
    </cfRule>
    <cfRule type="expression" dxfId="226" priority="232">
      <formula>$B98="wait"</formula>
    </cfRule>
  </conditionalFormatting>
  <conditionalFormatting sqref="B98">
    <cfRule type="expression" dxfId="225" priority="229">
      <formula>$B98="label"</formula>
    </cfRule>
  </conditionalFormatting>
  <conditionalFormatting sqref="D128">
    <cfRule type="expression" dxfId="224" priority="220">
      <formula>$B128="popup"</formula>
    </cfRule>
    <cfRule type="expression" dxfId="223" priority="221">
      <formula>$B128="switchTo"</formula>
    </cfRule>
    <cfRule type="expression" dxfId="222" priority="222">
      <formula>$B128="wait"</formula>
    </cfRule>
  </conditionalFormatting>
  <conditionalFormatting sqref="F128">
    <cfRule type="expression" dxfId="221" priority="223">
      <formula>$B128="popup"</formula>
    </cfRule>
    <cfRule type="expression" dxfId="220" priority="224">
      <formula>$B128="switchTo"</formula>
    </cfRule>
    <cfRule type="expression" dxfId="219" priority="225">
      <formula>$B128="wait"</formula>
    </cfRule>
  </conditionalFormatting>
  <conditionalFormatting sqref="B128">
    <cfRule type="expression" dxfId="218" priority="217">
      <formula>$B128="popup"</formula>
    </cfRule>
    <cfRule type="expression" dxfId="217" priority="218">
      <formula>$B128="switchTo"</formula>
    </cfRule>
    <cfRule type="expression" dxfId="216" priority="219">
      <formula>$B128="wait"</formula>
    </cfRule>
  </conditionalFormatting>
  <conditionalFormatting sqref="B128">
    <cfRule type="expression" dxfId="215" priority="216">
      <formula>$B128="label"</formula>
    </cfRule>
  </conditionalFormatting>
  <conditionalFormatting sqref="D135">
    <cfRule type="expression" dxfId="214" priority="187">
      <formula>$B135="popup"</formula>
    </cfRule>
    <cfRule type="expression" dxfId="213" priority="188">
      <formula>$B135="switchTo"</formula>
    </cfRule>
    <cfRule type="expression" dxfId="212" priority="189">
      <formula>$B135="wait"</formula>
    </cfRule>
  </conditionalFormatting>
  <conditionalFormatting sqref="D135">
    <cfRule type="expression" dxfId="211" priority="186">
      <formula>$B135="label"</formula>
    </cfRule>
  </conditionalFormatting>
  <conditionalFormatting sqref="C126">
    <cfRule type="expression" dxfId="210" priority="209">
      <formula>$B126="switchTo"</formula>
    </cfRule>
    <cfRule type="expression" dxfId="209" priority="210">
      <formula>$B126="wait"</formula>
    </cfRule>
  </conditionalFormatting>
  <conditionalFormatting sqref="B126 F126">
    <cfRule type="expression" dxfId="208" priority="213">
      <formula>$B126="popup"</formula>
    </cfRule>
    <cfRule type="expression" dxfId="207" priority="214">
      <formula>$B126="switchTo"</formula>
    </cfRule>
    <cfRule type="expression" dxfId="206" priority="215">
      <formula>$B126="wait"</formula>
    </cfRule>
  </conditionalFormatting>
  <conditionalFormatting sqref="C126">
    <cfRule type="expression" dxfId="205" priority="208">
      <formula>$B126="popup"</formula>
    </cfRule>
    <cfRule type="expression" dxfId="204" priority="211">
      <formula>$B126="switchTo"</formula>
    </cfRule>
    <cfRule type="expression" dxfId="203" priority="212">
      <formula>$B126="wait"</formula>
    </cfRule>
  </conditionalFormatting>
  <conditionalFormatting sqref="D126">
    <cfRule type="expression" dxfId="202" priority="204">
      <formula>$B126="switchTo"</formula>
    </cfRule>
    <cfRule type="expression" dxfId="201" priority="205">
      <formula>$B126="wait"</formula>
    </cfRule>
  </conditionalFormatting>
  <conditionalFormatting sqref="D126">
    <cfRule type="expression" dxfId="200" priority="203">
      <formula>$B126="popup"</formula>
    </cfRule>
    <cfRule type="expression" dxfId="199" priority="206">
      <formula>$B126="switchTo"</formula>
    </cfRule>
    <cfRule type="expression" dxfId="198" priority="207">
      <formula>$B126="wait"</formula>
    </cfRule>
  </conditionalFormatting>
  <conditionalFormatting sqref="C133">
    <cfRule type="expression" dxfId="197" priority="196">
      <formula>$B133="switchTo"</formula>
    </cfRule>
    <cfRule type="expression" dxfId="196" priority="197">
      <formula>$B133="wait"</formula>
    </cfRule>
  </conditionalFormatting>
  <conditionalFormatting sqref="B133 F133">
    <cfRule type="expression" dxfId="195" priority="200">
      <formula>$B133="popup"</formula>
    </cfRule>
    <cfRule type="expression" dxfId="194" priority="201">
      <formula>$B133="switchTo"</formula>
    </cfRule>
    <cfRule type="expression" dxfId="193" priority="202">
      <formula>$B133="wait"</formula>
    </cfRule>
  </conditionalFormatting>
  <conditionalFormatting sqref="C133">
    <cfRule type="expression" dxfId="192" priority="195">
      <formula>$B133="popup"</formula>
    </cfRule>
    <cfRule type="expression" dxfId="191" priority="198">
      <formula>$B133="switchTo"</formula>
    </cfRule>
    <cfRule type="expression" dxfId="190" priority="199">
      <formula>$B133="wait"</formula>
    </cfRule>
  </conditionalFormatting>
  <conditionalFormatting sqref="D133">
    <cfRule type="expression" dxfId="189" priority="191">
      <formula>$B133="switchTo"</formula>
    </cfRule>
    <cfRule type="expression" dxfId="188" priority="192">
      <formula>$B133="wait"</formula>
    </cfRule>
  </conditionalFormatting>
  <conditionalFormatting sqref="D133">
    <cfRule type="expression" dxfId="187" priority="190">
      <formula>$B133="popup"</formula>
    </cfRule>
    <cfRule type="expression" dxfId="186" priority="193">
      <formula>$B133="switchTo"</formula>
    </cfRule>
    <cfRule type="expression" dxfId="185" priority="194">
      <formula>$B133="wait"</formula>
    </cfRule>
  </conditionalFormatting>
  <conditionalFormatting sqref="B135">
    <cfRule type="expression" dxfId="184" priority="183">
      <formula>$B135="popup"</formula>
    </cfRule>
    <cfRule type="expression" dxfId="183" priority="184">
      <formula>$B135="switchTo"</formula>
    </cfRule>
    <cfRule type="expression" dxfId="182" priority="185">
      <formula>$B135="wait"</formula>
    </cfRule>
  </conditionalFormatting>
  <conditionalFormatting sqref="B135">
    <cfRule type="expression" dxfId="181" priority="182">
      <formula>$B135="label"</formula>
    </cfRule>
  </conditionalFormatting>
  <conditionalFormatting sqref="B64">
    <cfRule type="expression" dxfId="180" priority="180">
      <formula>$B64="switchTo"</formula>
    </cfRule>
    <cfRule type="expression" dxfId="179" priority="181">
      <formula>$B64="wait"</formula>
    </cfRule>
  </conditionalFormatting>
  <conditionalFormatting sqref="B124">
    <cfRule type="expression" dxfId="178" priority="167">
      <formula>$B124="popup"</formula>
    </cfRule>
    <cfRule type="expression" dxfId="177" priority="168">
      <formula>$B124="switchTo"</formula>
    </cfRule>
    <cfRule type="expression" dxfId="176" priority="169">
      <formula>$B124="wait"</formula>
    </cfRule>
  </conditionalFormatting>
  <conditionalFormatting sqref="B124:C124">
    <cfRule type="expression" dxfId="175" priority="170">
      <formula>$B124="popup"</formula>
    </cfRule>
    <cfRule type="expression" dxfId="174" priority="171">
      <formula>$B124="switchTo"</formula>
    </cfRule>
    <cfRule type="expression" dxfId="173" priority="172">
      <formula>$B124="wait"</formula>
    </cfRule>
  </conditionalFormatting>
  <conditionalFormatting sqref="B83:C83">
    <cfRule type="expression" dxfId="172" priority="175">
      <formula>$B83="popup"</formula>
    </cfRule>
    <cfRule type="expression" dxfId="171" priority="176">
      <formula>$B83="switchTo"</formula>
    </cfRule>
    <cfRule type="expression" dxfId="170" priority="177">
      <formula>$B83="wait"</formula>
    </cfRule>
  </conditionalFormatting>
  <conditionalFormatting sqref="B138:C138">
    <cfRule type="expression" dxfId="169" priority="159">
      <formula>$B138="popup"</formula>
    </cfRule>
    <cfRule type="expression" dxfId="168" priority="160">
      <formula>$B138="switchTo"</formula>
    </cfRule>
    <cfRule type="expression" dxfId="167" priority="161">
      <formula>$B138="wait"</formula>
    </cfRule>
  </conditionalFormatting>
  <conditionalFormatting sqref="B138:C138">
    <cfRule type="expression" dxfId="166" priority="158">
      <formula>$B138="label"</formula>
    </cfRule>
  </conditionalFormatting>
  <conditionalFormatting sqref="B131">
    <cfRule type="expression" dxfId="165" priority="137">
      <formula>$B131="popup"</formula>
    </cfRule>
    <cfRule type="expression" dxfId="164" priority="138">
      <formula>$B131="switchTo"</formula>
    </cfRule>
    <cfRule type="expression" dxfId="163" priority="139">
      <formula>$B131="wait"</formula>
    </cfRule>
  </conditionalFormatting>
  <conditionalFormatting sqref="C128">
    <cfRule type="expression" dxfId="162" priority="106">
      <formula>$B128="label"</formula>
    </cfRule>
  </conditionalFormatting>
  <conditionalFormatting sqref="B131:C131">
    <cfRule type="expression" dxfId="161" priority="140">
      <formula>$B131="popup"</formula>
    </cfRule>
    <cfRule type="expression" dxfId="160" priority="141">
      <formula>$B131="switchTo"</formula>
    </cfRule>
    <cfRule type="expression" dxfId="159" priority="142">
      <formula>$B131="wait"</formula>
    </cfRule>
  </conditionalFormatting>
  <conditionalFormatting sqref="B76">
    <cfRule type="expression" dxfId="158" priority="178">
      <formula>$B76="switchTo"</formula>
    </cfRule>
    <cfRule type="expression" dxfId="157" priority="179">
      <formula>$B76="wait"</formula>
    </cfRule>
  </conditionalFormatting>
  <conditionalFormatting sqref="B83">
    <cfRule type="expression" dxfId="156" priority="173">
      <formula>$B83="switchTo"</formula>
    </cfRule>
    <cfRule type="expression" dxfId="155" priority="174">
      <formula>$B83="wait"</formula>
    </cfRule>
  </conditionalFormatting>
  <conditionalFormatting sqref="B124:C124">
    <cfRule type="expression" dxfId="154" priority="164">
      <formula>$B124="popup"</formula>
    </cfRule>
    <cfRule type="expression" dxfId="153" priority="165">
      <formula>$B124="switchTo"</formula>
    </cfRule>
    <cfRule type="expression" dxfId="152" priority="166">
      <formula>$B124="wait"</formula>
    </cfRule>
  </conditionalFormatting>
  <conditionalFormatting sqref="B124">
    <cfRule type="expression" dxfId="151" priority="162">
      <formula>$B124="switchTo"</formula>
    </cfRule>
    <cfRule type="expression" dxfId="150" priority="163">
      <formula>$B124="wait"</formula>
    </cfRule>
  </conditionalFormatting>
  <conditionalFormatting sqref="B138:C138">
    <cfRule type="expression" dxfId="149" priority="155">
      <formula>$B138="popup"</formula>
    </cfRule>
    <cfRule type="expression" dxfId="148" priority="156">
      <formula>$B138="switchTo"</formula>
    </cfRule>
    <cfRule type="expression" dxfId="147" priority="157">
      <formula>$B138="wait"</formula>
    </cfRule>
  </conditionalFormatting>
  <conditionalFormatting sqref="B138">
    <cfRule type="expression" dxfId="146" priority="152">
      <formula>$B138="popup"</formula>
    </cfRule>
    <cfRule type="expression" dxfId="145" priority="153">
      <formula>$B138="switchTo"</formula>
    </cfRule>
    <cfRule type="expression" dxfId="144" priority="154">
      <formula>$B138="wait"</formula>
    </cfRule>
  </conditionalFormatting>
  <conditionalFormatting sqref="B138:C138">
    <cfRule type="expression" dxfId="143" priority="149">
      <formula>$B138="popup"</formula>
    </cfRule>
    <cfRule type="expression" dxfId="142" priority="150">
      <formula>$B138="switchTo"</formula>
    </cfRule>
    <cfRule type="expression" dxfId="141" priority="151">
      <formula>$B138="wait"</formula>
    </cfRule>
  </conditionalFormatting>
  <conditionalFormatting sqref="B138">
    <cfRule type="expression" dxfId="140" priority="147">
      <formula>$B138="switchTo"</formula>
    </cfRule>
    <cfRule type="expression" dxfId="139" priority="148">
      <formula>$B138="wait"</formula>
    </cfRule>
  </conditionalFormatting>
  <conditionalFormatting sqref="B131:C131">
    <cfRule type="expression" dxfId="138" priority="144">
      <formula>$B131="popup"</formula>
    </cfRule>
    <cfRule type="expression" dxfId="137" priority="145">
      <formula>$B131="switchTo"</formula>
    </cfRule>
    <cfRule type="expression" dxfId="136" priority="146">
      <formula>$B131="wait"</formula>
    </cfRule>
  </conditionalFormatting>
  <conditionalFormatting sqref="B131:C131">
    <cfRule type="expression" dxfId="135" priority="143">
      <formula>$B131="label"</formula>
    </cfRule>
  </conditionalFormatting>
  <conditionalFormatting sqref="C128">
    <cfRule type="expression" dxfId="134" priority="107">
      <formula>$B128="popup"</formula>
    </cfRule>
    <cfRule type="expression" dxfId="133" priority="108">
      <formula>$B128="switchTo"</formula>
    </cfRule>
    <cfRule type="expression" dxfId="132" priority="109">
      <formula>$B128="wait"</formula>
    </cfRule>
  </conditionalFormatting>
  <conditionalFormatting sqref="B131:C131">
    <cfRule type="expression" dxfId="131" priority="134">
      <formula>$B131="popup"</formula>
    </cfRule>
    <cfRule type="expression" dxfId="130" priority="135">
      <formula>$B131="switchTo"</formula>
    </cfRule>
    <cfRule type="expression" dxfId="129" priority="136">
      <formula>$B131="wait"</formula>
    </cfRule>
  </conditionalFormatting>
  <conditionalFormatting sqref="B131">
    <cfRule type="expression" dxfId="128" priority="132">
      <formula>$B131="switchTo"</formula>
    </cfRule>
    <cfRule type="expression" dxfId="127" priority="133">
      <formula>$B131="wait"</formula>
    </cfRule>
  </conditionalFormatting>
  <conditionalFormatting sqref="B90 D90">
    <cfRule type="expression" dxfId="126" priority="129">
      <formula>$B90="popup"</formula>
    </cfRule>
    <cfRule type="expression" dxfId="125" priority="130">
      <formula>$B90="switchTo"</formula>
    </cfRule>
    <cfRule type="expression" dxfId="124" priority="131">
      <formula>$B90="wait"</formula>
    </cfRule>
  </conditionalFormatting>
  <conditionalFormatting sqref="F90">
    <cfRule type="expression" dxfId="123" priority="126">
      <formula>$B90="popup"</formula>
    </cfRule>
    <cfRule type="expression" dxfId="122" priority="127">
      <formula>$B90="switchTo"</formula>
    </cfRule>
    <cfRule type="expression" dxfId="121" priority="128">
      <formula>$B90="wait"</formula>
    </cfRule>
  </conditionalFormatting>
  <conditionalFormatting sqref="B90">
    <cfRule type="expression" dxfId="120" priority="125">
      <formula>$B90="label"</formula>
    </cfRule>
  </conditionalFormatting>
  <conditionalFormatting sqref="C90">
    <cfRule type="expression" dxfId="119" priority="122">
      <formula>$B90="popup"</formula>
    </cfRule>
    <cfRule type="expression" dxfId="118" priority="123">
      <formula>$B90="switchTo"</formula>
    </cfRule>
    <cfRule type="expression" dxfId="117" priority="124">
      <formula>$B90="wait"</formula>
    </cfRule>
  </conditionalFormatting>
  <conditionalFormatting sqref="C90">
    <cfRule type="expression" dxfId="116" priority="121">
      <formula>$B90="label"</formula>
    </cfRule>
  </conditionalFormatting>
  <conditionalFormatting sqref="F95">
    <cfRule type="expression" dxfId="115" priority="115">
      <formula>$B95="popup"</formula>
    </cfRule>
    <cfRule type="expression" dxfId="114" priority="116">
      <formula>$B95="switchTo"</formula>
    </cfRule>
    <cfRule type="expression" dxfId="113" priority="117">
      <formula>$B95="wait"</formula>
    </cfRule>
  </conditionalFormatting>
  <conditionalFormatting sqref="B95">
    <cfRule type="expression" dxfId="112" priority="114">
      <formula>$B95="label"</formula>
    </cfRule>
  </conditionalFormatting>
  <conditionalFormatting sqref="B95 D95">
    <cfRule type="expression" dxfId="111" priority="118">
      <formula>$B95="popup"</formula>
    </cfRule>
    <cfRule type="expression" dxfId="110" priority="119">
      <formula>$B95="switchTo"</formula>
    </cfRule>
    <cfRule type="expression" dxfId="109" priority="120">
      <formula>$B95="wait"</formula>
    </cfRule>
  </conditionalFormatting>
  <conditionalFormatting sqref="C95">
    <cfRule type="expression" dxfId="108" priority="111">
      <formula>$B95="popup"</formula>
    </cfRule>
    <cfRule type="expression" dxfId="107" priority="112">
      <formula>$B95="switchTo"</formula>
    </cfRule>
    <cfRule type="expression" dxfId="106" priority="113">
      <formula>$B95="wait"</formula>
    </cfRule>
  </conditionalFormatting>
  <conditionalFormatting sqref="C95">
    <cfRule type="expression" dxfId="105" priority="110">
      <formula>$B95="label"</formula>
    </cfRule>
  </conditionalFormatting>
  <conditionalFormatting sqref="C135">
    <cfRule type="expression" dxfId="104" priority="102">
      <formula>$B135="label"</formula>
    </cfRule>
  </conditionalFormatting>
  <conditionalFormatting sqref="C135">
    <cfRule type="expression" dxfId="103" priority="103">
      <formula>$B135="popup"</formula>
    </cfRule>
    <cfRule type="expression" dxfId="102" priority="104">
      <formula>$B135="switchTo"</formula>
    </cfRule>
    <cfRule type="expression" dxfId="101" priority="105">
      <formula>$B135="wait"</formula>
    </cfRule>
  </conditionalFormatting>
  <conditionalFormatting sqref="B27 F27">
    <cfRule type="expression" dxfId="100" priority="94">
      <formula>$B27="label"</formula>
    </cfRule>
  </conditionalFormatting>
  <conditionalFormatting sqref="B27 F27">
    <cfRule type="expression" dxfId="99" priority="95">
      <formula>$B27="popup"</formula>
    </cfRule>
    <cfRule type="expression" dxfId="98" priority="96">
      <formula>$B27="switchTo"</formula>
    </cfRule>
    <cfRule type="expression" dxfId="97" priority="97">
      <formula>$B27="wait"</formula>
    </cfRule>
  </conditionalFormatting>
  <conditionalFormatting sqref="F135">
    <cfRule type="expression" dxfId="96" priority="98">
      <formula>$B135="label"</formula>
    </cfRule>
  </conditionalFormatting>
  <conditionalFormatting sqref="F135">
    <cfRule type="expression" dxfId="95" priority="99">
      <formula>$B135="popup"</formula>
    </cfRule>
    <cfRule type="expression" dxfId="94" priority="100">
      <formula>$B135="switchTo"</formula>
    </cfRule>
    <cfRule type="expression" dxfId="93" priority="101">
      <formula>$B135="wait"</formula>
    </cfRule>
  </conditionalFormatting>
  <conditionalFormatting sqref="D27">
    <cfRule type="expression" dxfId="92" priority="91">
      <formula>$B27="popup"</formula>
    </cfRule>
    <cfRule type="expression" dxfId="91" priority="92">
      <formula>$B27="switchTo"</formula>
    </cfRule>
    <cfRule type="expression" dxfId="90" priority="93">
      <formula>$B27="wait"</formula>
    </cfRule>
  </conditionalFormatting>
  <conditionalFormatting sqref="D27">
    <cfRule type="expression" dxfId="89" priority="90">
      <formula>$B27="label"</formula>
    </cfRule>
  </conditionalFormatting>
  <conditionalFormatting sqref="C27">
    <cfRule type="expression" dxfId="88" priority="83">
      <formula>$B27="popup"</formula>
    </cfRule>
    <cfRule type="expression" dxfId="87" priority="84">
      <formula>$B27="switchTo"</formula>
    </cfRule>
    <cfRule type="expression" dxfId="86" priority="85">
      <formula>$B27="wait"</formula>
    </cfRule>
  </conditionalFormatting>
  <conditionalFormatting sqref="C27">
    <cfRule type="expression" dxfId="85" priority="82">
      <formula>$B27="label"</formula>
    </cfRule>
  </conditionalFormatting>
  <conditionalFormatting sqref="B30:C30">
    <cfRule type="expression" dxfId="84" priority="87">
      <formula>$B30="popup"</formula>
    </cfRule>
    <cfRule type="expression" dxfId="83" priority="88">
      <formula>$B30="switchTo"</formula>
    </cfRule>
    <cfRule type="expression" dxfId="82" priority="89">
      <formula>$B30="wait"</formula>
    </cfRule>
  </conditionalFormatting>
  <conditionalFormatting sqref="B30:C30">
    <cfRule type="expression" dxfId="81" priority="86">
      <formula>$B30="label"</formula>
    </cfRule>
  </conditionalFormatting>
  <conditionalFormatting sqref="B26:C26">
    <cfRule type="expression" dxfId="80" priority="79">
      <formula>$B26="popup"</formula>
    </cfRule>
    <cfRule type="expression" dxfId="79" priority="80">
      <formula>$B26="switchTo"</formula>
    </cfRule>
    <cfRule type="expression" dxfId="78" priority="81">
      <formula>$B26="wait"</formula>
    </cfRule>
  </conditionalFormatting>
  <conditionalFormatting sqref="B26:C26">
    <cfRule type="expression" dxfId="77" priority="78">
      <formula>$B26="label"</formula>
    </cfRule>
  </conditionalFormatting>
  <conditionalFormatting sqref="B29">
    <cfRule type="expression" dxfId="76" priority="75">
      <formula>$B29="popup"</formula>
    </cfRule>
    <cfRule type="expression" dxfId="75" priority="76">
      <formula>$B29="switchTo"</formula>
    </cfRule>
    <cfRule type="expression" dxfId="74" priority="77">
      <formula>$B29="wait"</formula>
    </cfRule>
  </conditionalFormatting>
  <conditionalFormatting sqref="B29">
    <cfRule type="expression" dxfId="73" priority="74">
      <formula>$B29="label"</formula>
    </cfRule>
  </conditionalFormatting>
  <conditionalFormatting sqref="C29">
    <cfRule type="expression" dxfId="72" priority="71">
      <formula>$B29="popup"</formula>
    </cfRule>
    <cfRule type="expression" dxfId="71" priority="72">
      <formula>$B29="switchTo"</formula>
    </cfRule>
    <cfRule type="expression" dxfId="70" priority="73">
      <formula>$B29="wait"</formula>
    </cfRule>
  </conditionalFormatting>
  <conditionalFormatting sqref="C29">
    <cfRule type="expression" dxfId="69" priority="70">
      <formula>$B29="label"</formula>
    </cfRule>
  </conditionalFormatting>
  <conditionalFormatting sqref="E78 E48 E134 E127 E129 E111 E116:E117 E114 E136 E55">
    <cfRule type="expression" dxfId="68" priority="66">
      <formula>$B48="switchTo"</formula>
    </cfRule>
    <cfRule type="expression" dxfId="67" priority="67">
      <formula>$B48="wait"</formula>
    </cfRule>
  </conditionalFormatting>
  <conditionalFormatting sqref="E77">
    <cfRule type="expression" dxfId="66" priority="64">
      <formula>$B77="switchTo"</formula>
    </cfRule>
    <cfRule type="expression" dxfId="65" priority="65">
      <formula>$B77="wait"</formula>
    </cfRule>
  </conditionalFormatting>
  <conditionalFormatting sqref="E49">
    <cfRule type="expression" dxfId="64" priority="62">
      <formula>$B49="switchTo"</formula>
    </cfRule>
    <cfRule type="expression" dxfId="63" priority="63">
      <formula>$B49="wait"</formula>
    </cfRule>
  </conditionalFormatting>
  <conditionalFormatting sqref="E114:E119 E111:E112 E85:E89 E92:E94 E122:E125 E97:E108 E129:E132 E127 E134 E136:E142 E28:E32 E11:E26 E34 E47:E83">
    <cfRule type="expression" dxfId="62" priority="61">
      <formula>$B11="popup"</formula>
    </cfRule>
    <cfRule type="expression" dxfId="61" priority="68">
      <formula>$B11="switchTo"</formula>
    </cfRule>
    <cfRule type="expression" dxfId="60" priority="69">
      <formula>$B11="wait"</formula>
    </cfRule>
  </conditionalFormatting>
  <conditionalFormatting sqref="E84">
    <cfRule type="expression" dxfId="59" priority="58">
      <formula>$B84="popup"</formula>
    </cfRule>
    <cfRule type="expression" dxfId="58" priority="59">
      <formula>$B84="switchTo"</formula>
    </cfRule>
    <cfRule type="expression" dxfId="57" priority="60">
      <formula>$B84="wait"</formula>
    </cfRule>
  </conditionalFormatting>
  <conditionalFormatting sqref="E121">
    <cfRule type="expression" dxfId="56" priority="55">
      <formula>$B121="popup"</formula>
    </cfRule>
    <cfRule type="expression" dxfId="55" priority="56">
      <formula>$B121="switchTo"</formula>
    </cfRule>
    <cfRule type="expression" dxfId="54" priority="57">
      <formula>$B121="wait"</formula>
    </cfRule>
  </conditionalFormatting>
  <conditionalFormatting sqref="E120">
    <cfRule type="expression" dxfId="53" priority="52">
      <formula>$B120="popup"</formula>
    </cfRule>
    <cfRule type="expression" dxfId="52" priority="53">
      <formula>$B120="switchTo"</formula>
    </cfRule>
    <cfRule type="expression" dxfId="51" priority="54">
      <formula>$B120="wait"</formula>
    </cfRule>
  </conditionalFormatting>
  <conditionalFormatting sqref="E109">
    <cfRule type="expression" dxfId="50" priority="49">
      <formula>$B109="popup"</formula>
    </cfRule>
    <cfRule type="expression" dxfId="49" priority="50">
      <formula>$B109="switchTo"</formula>
    </cfRule>
    <cfRule type="expression" dxfId="48" priority="51">
      <formula>$B109="wait"</formula>
    </cfRule>
  </conditionalFormatting>
  <conditionalFormatting sqref="E113">
    <cfRule type="expression" dxfId="47" priority="46">
      <formula>$B113="popup"</formula>
    </cfRule>
    <cfRule type="expression" dxfId="46" priority="47">
      <formula>$B113="switchTo"</formula>
    </cfRule>
    <cfRule type="expression" dxfId="45" priority="48">
      <formula>$B113="wait"</formula>
    </cfRule>
  </conditionalFormatting>
  <conditionalFormatting sqref="E110">
    <cfRule type="expression" dxfId="44" priority="43">
      <formula>$B110="popup"</formula>
    </cfRule>
    <cfRule type="expression" dxfId="43" priority="44">
      <formula>$B110="switchTo"</formula>
    </cfRule>
    <cfRule type="expression" dxfId="42" priority="45">
      <formula>$B110="wait"</formula>
    </cfRule>
  </conditionalFormatting>
  <conditionalFormatting sqref="E96">
    <cfRule type="expression" dxfId="41" priority="40">
      <formula>$B96="popup"</formula>
    </cfRule>
    <cfRule type="expression" dxfId="40" priority="41">
      <formula>$B96="switchTo"</formula>
    </cfRule>
    <cfRule type="expression" dxfId="39" priority="42">
      <formula>$B96="wait"</formula>
    </cfRule>
  </conditionalFormatting>
  <conditionalFormatting sqref="E28:E32 E136:E142 E36:E45 E11:E26 E34 E47:E134">
    <cfRule type="expression" dxfId="38" priority="39">
      <formula>$B11="label"</formula>
    </cfRule>
  </conditionalFormatting>
  <conditionalFormatting sqref="E91">
    <cfRule type="expression" dxfId="37" priority="36">
      <formula>$B91="popup"</formula>
    </cfRule>
    <cfRule type="expression" dxfId="36" priority="37">
      <formula>$B91="switchTo"</formula>
    </cfRule>
    <cfRule type="expression" dxfId="35" priority="38">
      <formula>$B91="wait"</formula>
    </cfRule>
  </conditionalFormatting>
  <conditionalFormatting sqref="E34">
    <cfRule type="expression" dxfId="34" priority="34">
      <formula>$B34="switchTo"</formula>
    </cfRule>
    <cfRule type="expression" dxfId="33" priority="35">
      <formula>$B34="wait"</formula>
    </cfRule>
  </conditionalFormatting>
  <conditionalFormatting sqref="E35">
    <cfRule type="expression" dxfId="32" priority="30">
      <formula>$B35="switchTo"</formula>
    </cfRule>
    <cfRule type="expression" dxfId="31" priority="31">
      <formula>$B35="wait"</formula>
    </cfRule>
  </conditionalFormatting>
  <conditionalFormatting sqref="E35">
    <cfRule type="expression" dxfId="30" priority="29">
      <formula>$B35="popup"</formula>
    </cfRule>
    <cfRule type="expression" dxfId="29" priority="32">
      <formula>$B35="switchTo"</formula>
    </cfRule>
    <cfRule type="expression" dxfId="28" priority="33">
      <formula>$B35="wait"</formula>
    </cfRule>
  </conditionalFormatting>
  <conditionalFormatting sqref="E35">
    <cfRule type="expression" dxfId="27" priority="28">
      <formula>$B35="label"</formula>
    </cfRule>
  </conditionalFormatting>
  <conditionalFormatting sqref="E128">
    <cfRule type="expression" dxfId="26" priority="25">
      <formula>$B128="popup"</formula>
    </cfRule>
    <cfRule type="expression" dxfId="25" priority="26">
      <formula>$B128="switchTo"</formula>
    </cfRule>
    <cfRule type="expression" dxfId="24" priority="27">
      <formula>$B128="wait"</formula>
    </cfRule>
  </conditionalFormatting>
  <conditionalFormatting sqref="E126">
    <cfRule type="expression" dxfId="23" priority="22">
      <formula>$B126="popup"</formula>
    </cfRule>
    <cfRule type="expression" dxfId="22" priority="23">
      <formula>$B126="switchTo"</formula>
    </cfRule>
    <cfRule type="expression" dxfId="21" priority="24">
      <formula>$B126="wait"</formula>
    </cfRule>
  </conditionalFormatting>
  <conditionalFormatting sqref="E133">
    <cfRule type="expression" dxfId="20" priority="19">
      <formula>$B133="popup"</formula>
    </cfRule>
    <cfRule type="expression" dxfId="19" priority="20">
      <formula>$B133="switchTo"</formula>
    </cfRule>
    <cfRule type="expression" dxfId="18" priority="21">
      <formula>$B133="wait"</formula>
    </cfRule>
  </conditionalFormatting>
  <conditionalFormatting sqref="E90">
    <cfRule type="expression" dxfId="17" priority="16">
      <formula>$B90="popup"</formula>
    </cfRule>
    <cfRule type="expression" dxfId="16" priority="17">
      <formula>$B90="switchTo"</formula>
    </cfRule>
    <cfRule type="expression" dxfId="15" priority="18">
      <formula>$B90="wait"</formula>
    </cfRule>
  </conditionalFormatting>
  <conditionalFormatting sqref="E95">
    <cfRule type="expression" dxfId="14" priority="13">
      <formula>$B95="popup"</formula>
    </cfRule>
    <cfRule type="expression" dxfId="13" priority="14">
      <formula>$B95="switchTo"</formula>
    </cfRule>
    <cfRule type="expression" dxfId="12" priority="15">
      <formula>$B95="wait"</formula>
    </cfRule>
  </conditionalFormatting>
  <conditionalFormatting sqref="E27">
    <cfRule type="expression" dxfId="11" priority="5">
      <formula>$B27="label"</formula>
    </cfRule>
  </conditionalFormatting>
  <conditionalFormatting sqref="E27">
    <cfRule type="expression" dxfId="10" priority="6">
      <formula>$B27="popup"</formula>
    </cfRule>
    <cfRule type="expression" dxfId="9" priority="7">
      <formula>$B27="switchTo"</formula>
    </cfRule>
    <cfRule type="expression" dxfId="8" priority="8">
      <formula>$B27="wait"</formula>
    </cfRule>
  </conditionalFormatting>
  <conditionalFormatting sqref="E135">
    <cfRule type="expression" dxfId="7" priority="9">
      <formula>$B135="label"</formula>
    </cfRule>
  </conditionalFormatting>
  <conditionalFormatting sqref="E135">
    <cfRule type="expression" dxfId="6" priority="10">
      <formula>$B135="popup"</formula>
    </cfRule>
    <cfRule type="expression" dxfId="5" priority="11">
      <formula>$B135="switchTo"</formula>
    </cfRule>
    <cfRule type="expression" dxfId="4" priority="12">
      <formula>$B135="wait"</formula>
    </cfRule>
  </conditionalFormatting>
  <conditionalFormatting sqref="E46">
    <cfRule type="expression" dxfId="3" priority="4">
      <formula>$B46="label"</formula>
    </cfRule>
  </conditionalFormatting>
  <conditionalFormatting sqref="E33">
    <cfRule type="expression" dxfId="2" priority="3">
      <formula>$B33="label"</formula>
    </cfRule>
  </conditionalFormatting>
  <conditionalFormatting sqref="D68">
    <cfRule type="expression" dxfId="1" priority="1">
      <formula>$B68="switchTo"</formula>
    </cfRule>
    <cfRule type="expression" dxfId="0" priority="2">
      <formula>$B68="wait"</formula>
    </cfRule>
  </conditionalFormatting>
  <hyperlinks>
    <hyperlink ref="C20" r:id="rId1"/>
    <hyperlink ref="C141" r:id="rId2"/>
    <hyperlink ref="C108" r:id="rId3"/>
  </hyperlinks>
  <pageMargins left="0.7" right="0.7" top="0.75" bottom="0.75" header="0.3" footer="0.3"/>
  <pageSetup paperSize="9" orientation="portrait" r:id="rId4"/>
  <drawing r:id="rId5"/>
  <legacyDrawing r:id="rId6"/>
  <controls>
    <mc:AlternateContent xmlns:mc="http://schemas.openxmlformats.org/markup-compatibility/2006">
      <mc:Choice Requires="x14">
        <control shapeId="7169" r:id="rId7" name="btnExportYML">
          <controlPr defaultSize="0" autoLine="0" r:id="rId8">
            <anchor moveWithCells="1">
              <from>
                <xdr:col>2</xdr:col>
                <xdr:colOff>2457450</xdr:colOff>
                <xdr:row>1</xdr:row>
                <xdr:rowOff>57150</xdr:rowOff>
              </from>
              <to>
                <xdr:col>2</xdr:col>
                <xdr:colOff>3581400</xdr:colOff>
                <xdr:row>2</xdr:row>
                <xdr:rowOff>180975</xdr:rowOff>
              </to>
            </anchor>
          </controlPr>
        </control>
      </mc:Choice>
      <mc:Fallback>
        <control shapeId="7169" r:id="rId7" name="btnExportYML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approve</vt:lpstr>
      <vt:lpstr>PurReq</vt:lpstr>
      <vt:lpstr>Entertainment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王 小広</dc:creator>
  <cp:lastModifiedBy>王 小広</cp:lastModifiedBy>
  <dcterms:created xsi:type="dcterms:W3CDTF">2021-03-30T01:23:51Z</dcterms:created>
  <dcterms:modified xsi:type="dcterms:W3CDTF">2021-04-06T08:34:25Z</dcterms:modified>
</cp:coreProperties>
</file>