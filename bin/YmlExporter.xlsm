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15690" windowHeight="6480"/>
  </bookViews>
  <sheets>
    <sheet name="main" sheetId="4" r:id="rId1"/>
    <sheet name="data" sheetId="10" r:id="rId2"/>
  </sheets>
  <functionGroups builtInGroupCount="18"/>
  <externalReferences>
    <externalReference r:id="rId3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0" l="1"/>
  <c r="D37" i="10"/>
  <c r="D2" i="10"/>
  <c r="D36" i="10"/>
  <c r="C36" i="10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A128" i="4"/>
  <c r="F1" i="4"/>
  <c r="A78" i="4"/>
  <c r="A79" i="4"/>
  <c r="A80" i="4"/>
  <c r="A81" i="4"/>
  <c r="A82" i="4"/>
  <c r="A83" i="4"/>
  <c r="A84" i="4"/>
  <c r="A85" i="4"/>
  <c r="A86" i="4"/>
  <c r="A87" i="4"/>
  <c r="A88" i="4"/>
  <c r="A89" i="4"/>
  <c r="A1" i="10"/>
  <c r="K17" i="10" l="1"/>
  <c r="D3" i="4" l="1"/>
  <c r="C3" i="10"/>
  <c r="C4" i="10"/>
  <c r="C5" i="10"/>
  <c r="C6" i="10"/>
  <c r="C7" i="10"/>
  <c r="C8" i="10"/>
  <c r="D1" i="10"/>
  <c r="D26" i="10" l="1"/>
  <c r="D24" i="10"/>
  <c r="D22" i="10"/>
  <c r="D20" i="10"/>
  <c r="D18" i="10"/>
  <c r="D16" i="10"/>
  <c r="D14" i="10"/>
  <c r="D12" i="10"/>
  <c r="D10" i="10"/>
  <c r="D25" i="10"/>
  <c r="D23" i="10"/>
  <c r="D21" i="10"/>
  <c r="D19" i="10"/>
  <c r="D17" i="10"/>
  <c r="D15" i="10"/>
  <c r="D13" i="10"/>
  <c r="D11" i="10"/>
  <c r="D9" i="10"/>
  <c r="D6" i="10"/>
  <c r="D4" i="10"/>
  <c r="D7" i="10"/>
  <c r="D3" i="10"/>
  <c r="D5" i="10"/>
  <c r="D8" i="10"/>
  <c r="A112" i="4"/>
  <c r="A111" i="4"/>
  <c r="A90" i="4"/>
  <c r="A91" i="4"/>
  <c r="A92" i="4"/>
  <c r="A93" i="4"/>
  <c r="A94" i="4"/>
  <c r="A110" i="4"/>
  <c r="A109" i="4"/>
  <c r="A108" i="4"/>
  <c r="A76" i="4"/>
  <c r="A77" i="4" l="1"/>
  <c r="A75" i="4"/>
  <c r="A26" i="4"/>
  <c r="A29" i="4" l="1"/>
  <c r="A30" i="4"/>
  <c r="A27" i="4"/>
  <c r="A31" i="4"/>
  <c r="D28" i="4"/>
  <c r="A28" i="4"/>
  <c r="A57" i="4" l="1"/>
  <c r="A126" i="4" l="1"/>
  <c r="A131" i="4" l="1"/>
  <c r="A130" i="4"/>
  <c r="A129" i="4"/>
  <c r="A127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6" i="4"/>
  <c r="A35" i="4"/>
  <c r="A34" i="4"/>
  <c r="A33" i="4"/>
  <c r="A32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D123" i="4" l="1"/>
  <c r="D117" i="4"/>
  <c r="D99" i="4" l="1"/>
  <c r="D32" i="4" l="1"/>
  <c r="C2" i="4"/>
  <c r="D45" i="4" l="1"/>
  <c r="D100" i="4" l="1"/>
  <c r="D44" i="4"/>
  <c r="D104" i="4"/>
  <c r="D46" i="4"/>
  <c r="D43" i="4"/>
</calcChain>
</file>

<file path=xl/comments1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>
  <authors>
    <author>王 小広</author>
  </authors>
  <commentList>
    <comment ref="E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<sst xmlns="http://schemas.openxmlformats.org/spreadsheetml/2006/main" count="489" uniqueCount="228">
  <si>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</si>
  <si>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</si>
  <si>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</si>
  <si>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</si>
  <si>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</si>
  <si>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</si>
  <si>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</si>
  <si>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</si>
  <si>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</si>
  <si>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</si>
  <si>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</si>
  <si>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</si>
  <si>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</si>
  <si>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</si>
  <si>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</si>
  <si>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</si>
  <si>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</si>
  <si>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</si>
  <si>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</si>
  <si>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</si>
  <si>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#header</t>
    <phoneticPr fontId="1"/>
  </si>
  <si>
    <t>actions</t>
    <phoneticPr fontId="1"/>
  </si>
  <si>
    <t>interval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</si>
  <si>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</si>
  <si>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</si>
  <si>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</si>
  <si>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</si>
  <si>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</si>
  <si>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</si>
  <si>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</si>
  <si>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</si>
  <si>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</si>
  <si>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</si>
  <si>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</si>
  <si>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</si>
  <si>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</si>
  <si>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</si>
  <si>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</si>
  <si>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</si>
  <si>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</si>
  <si>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</si>
  <si>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</si>
  <si>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</si>
  <si>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</si>
  <si>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</si>
  <si>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</si>
  <si>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</si>
  <si>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</si>
  <si>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</si>
  <si>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</si>
  <si>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name=regist</t>
    <phoneticPr fontId="1"/>
  </si>
  <si>
    <t>name=changeName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</si>
  <si>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</si>
  <si>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</si>
  <si>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</si>
  <si>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</si>
  <si>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</si>
  <si>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</si>
  <si>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</si>
  <si>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</si>
  <si>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</si>
  <si>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</si>
  <si>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</si>
  <si>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</si>
  <si>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</si>
  <si>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</si>
  <si>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</si>
  <si>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</si>
  <si>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</si>
  <si>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</si>
  <si>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</si>
  <si>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</si>
  <si>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</si>
  <si>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</si>
  <si>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</si>
  <si>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</si>
  <si>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</si>
  <si>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</si>
  <si>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ルーt１を選択</t>
    <rPh sb="5" eb="7">
      <t>センタク</t>
    </rPh>
    <phoneticPr fontId="1"/>
  </si>
  <si>
    <t>open</t>
    <phoneticPr fontId="1"/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</si>
  <si>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</si>
  <si>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</si>
  <si>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name=receive_comment</t>
    <phoneticPr fontId="1"/>
  </si>
  <si>
    <t>XPathFormat=//*[contains(text(),"{0}")]/parent::tr/td[1]/a</t>
    <phoneticPr fontId="1"/>
  </si>
  <si>
    <t>overwrite</t>
    <phoneticPr fontId="1"/>
  </si>
  <si>
    <t>item_id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</si>
  <si>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</si>
  <si>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</si>
  <si>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</si>
  <si>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</si>
  <si>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</si>
  <si>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</si>
  <si>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</si>
  <si>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</si>
  <si>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</si>
  <si>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</si>
  <si>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</si>
  <si>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</si>
  <si>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1回目承認の場合</t>
    <rPh sb="1" eb="5">
      <t>カイメショウニン</t>
    </rPh>
    <rPh sb="6" eb="8">
      <t>バアイ</t>
    </rPh>
    <phoneticPr fontId="1"/>
  </si>
  <si>
    <t>wait</t>
    <phoneticPr fontId="1"/>
  </si>
  <si>
    <t>switchTo</t>
    <phoneticPr fontId="1"/>
  </si>
  <si>
    <t>switchTo</t>
    <phoneticPr fontId="1"/>
  </si>
  <si>
    <t>label</t>
    <phoneticPr fontId="1"/>
  </si>
  <si>
    <t>route2</t>
    <phoneticPr fontId="1"/>
  </si>
  <si>
    <t>draft01</t>
    <phoneticPr fontId="1"/>
  </si>
  <si>
    <t>route2で再起票</t>
    <rPh sb="7" eb="10">
      <t>サイキヒョウ</t>
    </rPh>
    <phoneticPr fontId="1"/>
  </si>
  <si>
    <t>approve</t>
    <phoneticPr fontId="1"/>
  </si>
  <si>
    <t>ifnot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</si>
  <si>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</si>
  <si>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</si>
  <si>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</si>
  <si>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</si>
  <si>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http://localhost:8080/imart/menu/common/iframe_sender?menuId=im_bpw_not_comp</t>
    <phoneticPr fontId="1"/>
  </si>
  <si>
    <t>window</t>
    <phoneticPr fontId="1"/>
  </si>
  <si>
    <t>詳細画面</t>
    <rPh sb="0" eb="2">
      <t>ショウサイ</t>
    </rPh>
    <rPh sb="2" eb="4">
      <t>ガメン</t>
    </rPh>
    <phoneticPr fontId="1"/>
  </si>
  <si>
    <t>click</t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</si>
  <si>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</si>
  <si>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</si>
  <si>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</si>
  <si>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</si>
  <si>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</si>
  <si>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</si>
  <si>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</si>
  <si>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</si>
  <si>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</si>
  <si>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</si>
  <si>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text_width</t>
  </si>
  <si>
    <t>« NULL »</t>
  </si>
  <si>
    <t>click</t>
    <phoneticPr fontId="1"/>
  </si>
  <si>
    <t>Route選択</t>
    <rPh sb="5" eb="7">
      <t>センタク</t>
    </rPh>
    <phoneticPr fontId="1"/>
  </si>
  <si>
    <t>500</t>
    <phoneticPr fontId="1"/>
  </si>
  <si>
    <t>goto</t>
  </si>
  <si>
    <t>-1</t>
    <phoneticPr fontId="1"/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</si>
  <si>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</si>
  <si>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</si>
  <si>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</si>
  <si>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</si>
  <si>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ifvar</t>
    <phoneticPr fontId="1"/>
  </si>
  <si>
    <t>routeX=1;goto:route1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</si>
  <si>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</si>
  <si>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</si>
  <si>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</si>
  <si>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goto:im_bpw_not_comp</t>
    <phoneticPr fontId="1"/>
  </si>
  <si>
    <t>XPathFormat=//*[contains(text(),"{0}")]/parent::tr/td[1]/a; goto:im_bpw_consented</t>
    <phoneticPr fontId="1"/>
  </si>
  <si>
    <t>var</t>
    <phoneticPr fontId="1"/>
  </si>
  <si>
    <t>hasroute</t>
    <phoneticPr fontId="1"/>
  </si>
  <si>
    <t>shotcmd</t>
    <phoneticPr fontId="1"/>
  </si>
  <si>
    <t>15</t>
    <phoneticPr fontId="1"/>
  </si>
  <si>
    <t>-1</t>
    <phoneticPr fontId="1"/>
  </si>
  <si>
    <t>item_type</t>
  </si>
  <si>
    <t>02</t>
  </si>
  <si>
    <t>04</t>
  </si>
  <si>
    <t>select</t>
  </si>
  <si>
    <t xml:space="preserve">  --* --</t>
  </si>
  <si>
    <t xml:space="preserve">  item_id</t>
  </si>
  <si>
    <t xml:space="preserve">  , item_type</t>
  </si>
  <si>
    <t xml:space="preserve">  , text_width</t>
  </si>
  <si>
    <t xml:space="preserve">  , effect_decimal </t>
  </si>
  <si>
    <t>from</t>
  </si>
  <si>
    <t xml:space="preserve">  fc_m_application_item </t>
  </si>
  <si>
    <t>where</t>
  </si>
  <si>
    <t xml:space="preserve">  application_cd in ( </t>
  </si>
  <si>
    <t xml:space="preserve">    select</t>
  </si>
  <si>
    <t xml:space="preserve">      MAX(t1.application_cd) </t>
  </si>
  <si>
    <t xml:space="preserve">    from</t>
  </si>
  <si>
    <t xml:space="preserve">      fc_m_application t1</t>
  </si>
  <si>
    <t xml:space="preserve">      , fc_m_wkf_cooperation t2 </t>
  </si>
  <si>
    <t xml:space="preserve">    where</t>
  </si>
  <si>
    <t xml:space="preserve">      and t1.application_cd = t2.application_cd</t>
  </si>
  <si>
    <t xml:space="preserve">  ) </t>
  </si>
  <si>
    <t xml:space="preserve">  and item_type in ('02', '03', '04', '06') </t>
  </si>
  <si>
    <t>order by</t>
  </si>
  <si>
    <t xml:space="preserve">  item_type</t>
  </si>
  <si>
    <t>effect_decimal</t>
  </si>
  <si>
    <t>#ref:data</t>
    <phoneticPr fontId="1"/>
  </si>
  <si>
    <t>target</t>
    <phoneticPr fontId="1"/>
  </si>
  <si>
    <t>06</t>
  </si>
  <si>
    <t>var</t>
    <phoneticPr fontId="1"/>
  </si>
  <si>
    <t>xpathformat=//a[contains(@onclick,"displayFloatingCalendar") and contains(@onclick,"{0}") ];click|css=a b</t>
    <phoneticPr fontId="1"/>
  </si>
  <si>
    <t>im_bpw_not_comp</t>
    <phoneticPr fontId="1"/>
  </si>
  <si>
    <t>xpath=//*[contains(text(),"起票(本人用)")]; goto:im_bpw_not_comp</t>
    <phoneticPr fontId="1"/>
  </si>
  <si>
    <t>未処理一覧に存在チェック</t>
    <rPh sb="0" eb="3">
      <t>ミショリ</t>
    </rPh>
    <rPh sb="3" eb="5">
      <t>イチラン</t>
    </rPh>
    <rPh sb="6" eb="8">
      <t>ソンザイ</t>
    </rPh>
    <phoneticPr fontId="1"/>
  </si>
  <si>
    <t>Route選択へ</t>
    <rPh sb="5" eb="7">
      <t>センタク</t>
    </rPh>
    <phoneticPr fontId="1"/>
  </si>
  <si>
    <t>未処理チェックへ</t>
    <rPh sb="0" eb="3">
      <t>ミショリ</t>
    </rPh>
    <phoneticPr fontId="1"/>
  </si>
  <si>
    <t>フロー画面</t>
    <rPh sb="3" eb="5">
      <t>ガメン</t>
    </rPh>
    <phoneticPr fontId="1"/>
  </si>
  <si>
    <t>[open, popup, click]</t>
    <phoneticPr fontId="1"/>
  </si>
  <si>
    <t>route1</t>
    <phoneticPr fontId="1"/>
  </si>
  <si>
    <t>routeX=2;goto:route2</t>
    <phoneticPr fontId="1"/>
  </si>
  <si>
    <t>routeX=2;goto:draft01</t>
    <phoneticPr fontId="1"/>
  </si>
  <si>
    <t>改ページ</t>
    <rPh sb="0" eb="1">
      <t>カイ</t>
    </rPh>
    <phoneticPr fontId="1"/>
  </si>
  <si>
    <t>hasroute=1;math|routeX+1</t>
    <phoneticPr fontId="1"/>
  </si>
  <si>
    <t>qty3</t>
  </si>
  <si>
    <t>qty10</t>
  </si>
  <si>
    <t>qty9</t>
  </si>
  <si>
    <t>qty8</t>
  </si>
  <si>
    <t>qty7</t>
  </si>
  <si>
    <t>qty6</t>
  </si>
  <si>
    <t>qty5</t>
  </si>
  <si>
    <t>qty4</t>
  </si>
  <si>
    <t>qty2</t>
  </si>
  <si>
    <t>qty1</t>
  </si>
  <si>
    <t>1800_Pur Req(Comm Mgmt)</t>
  </si>
  <si>
    <t>5hxa7zflfnwwxe9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</si>
  <si>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</si>
  <si>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</si>
  <si>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</si>
  <si>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</si>
  <si>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</si>
  <si>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</si>
  <si>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</si>
  <si>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5hxa7z3e2mrybe9</t>
  </si>
  <si>
    <t>5hxa7z34emiure9</t>
  </si>
  <si>
    <t>5hxa7z36jq45pe9</t>
  </si>
  <si>
    <t>5hxa7z36s3r8be9</t>
  </si>
  <si>
    <t>5hxa7z3b83scwe9</t>
  </si>
  <si>
    <t>5hxa7z3o8014je9</t>
  </si>
  <si>
    <t>5hxa7zfzvoenwe9</t>
  </si>
  <si>
    <t>price10</t>
  </si>
  <si>
    <t>price1</t>
  </si>
  <si>
    <t>price9</t>
  </si>
  <si>
    <t>price8</t>
  </si>
  <si>
    <t>price7</t>
  </si>
  <si>
    <t>price6</t>
  </si>
  <si>
    <t>price5</t>
  </si>
  <si>
    <t>price4</t>
  </si>
  <si>
    <t>price3</t>
  </si>
  <si>
    <t>price2</t>
  </si>
  <si>
    <t>5hxa7z32d6tlse9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</si>
</sst>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7" fillId="0" borderId="2" xfId="0" applyFont="1" applyBorder="1" applyAlignment="1">
      <alignment vertical="center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0" fillId="0" borderId="0" xfId="0" applyAlignment="1">
      <alignment shrinkToFit="1"/>
    </xf>
    <xf numFmtId="0" fontId="3" fillId="2" borderId="1" xfId="0" applyFont="1" applyFill="1" applyBorder="1"/>
    <xf numFmtId="0" fontId="0" fillId="2" borderId="0" xfId="0" applyFill="1" applyAlignment="1">
      <alignment shrinkToFit="1"/>
    </xf>
    <xf numFmtId="0" fontId="3" fillId="0" borderId="1" xfId="0" applyFont="1" applyBorder="1"/>
  </cellXfs>
  <cellStyles count="2">
    <cellStyle name="ハイパーリンク" xfId="1" builtinId="8"/>
    <cellStyle name="標準" xfId="0" builtinId="0"/>
  </cellStyles>
  <dxfs count="435"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1552575</xdr:colOff>
          <xdr:row>1</xdr:row>
          <xdr:rowOff>57150</xdr:rowOff>
        </xdr:from>
        <xdr:to>
          <xdr:col>2</xdr:col>
          <xdr:colOff>2676525</xdr:colOff>
          <xdr:row>2</xdr:row>
          <xdr:rowOff>180975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omments" Target="../comments1.xml"/><Relationship Id="rId4" Type="http://schemas.openxmlformats.org/officeDocument/2006/relationships/hyperlink" Target="http://localhost:8080/imart/menu/common/iframe_sender?menuId=im_bpw_consented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31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D26" sqref="D26"/>
    </sheetView>
  </sheetViews>
  <sheetFormatPr defaultRowHeight="18.75"/>
  <cols>
    <col min="1" max="1" width="13.875" customWidth="1"/>
    <col min="2" max="2" width="9.375" style="2" customWidth="1"/>
    <col min="3" max="3" width="38.875" style="2" customWidth="1"/>
    <col min="4" max="4" width="28.875" style="11" customWidth="1"/>
    <col min="5" max="5" width="8.5" style="2" customWidth="1"/>
    <col min="6" max="6" width="24.5" customWidth="1"/>
  </cols>
  <sheetData>
    <row r="1" spans="1:6">
      <c r="A1" s="8" t="s">
        <v>20</v>
      </c>
      <c r="B1" s="9"/>
      <c r="C1" s="9"/>
      <c r="D1" s="13" t="s">
        <v>70</v>
      </c>
      <c r="E1" s="9" t="s">
        <v>71</v>
      </c>
      <c r="F1" s="2">
        <f>COUNTA(B:B)-9</f>
        <v>116</v>
      </c>
    </row>
    <row r="2" spans="1:6" ht="19.5">
      <c r="A2" s="1" t="s">
        <v>22</v>
      </c>
      <c r="B2" s="2" t="s">
        <v>130</v>
      </c>
      <c r="C2" s="7" t="str">
        <f>"# 間隔時間: "&amp;(B2/1000) &amp;"秒"</f>
        <v># 間隔時間: 0.5秒</v>
      </c>
      <c r="D2" s="36" t="s">
        <v>201</v>
      </c>
      <c r="E2" s="2" t="s">
        <v>72</v>
      </c>
    </row>
    <row r="3" spans="1:6">
      <c r="A3" s="1" t="s">
        <v>146</v>
      </c>
      <c r="B3" s="2" t="s">
        <v>185</v>
      </c>
      <c r="D3" s="11" t="str">
        <f ca="1">D2&amp;TEXT(NOW(),"YYYYMMDDHHmmss")</f>
        <v>1800_Pur Req(Comm Mgmt)20210408133432</v>
      </c>
    </row>
    <row r="4" spans="1:6">
      <c r="A4" s="1" t="s">
        <v>92</v>
      </c>
      <c r="B4" s="2" t="s">
        <v>147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21</v>
      </c>
      <c r="B9" s="9"/>
      <c r="C9" s="9"/>
      <c r="D9" s="13"/>
      <c r="E9" s="9"/>
      <c r="F9" s="9"/>
    </row>
    <row r="10" spans="1:6">
      <c r="A10" s="1" t="s">
        <v>23</v>
      </c>
      <c r="B10" s="3" t="s">
        <v>16</v>
      </c>
      <c r="C10" s="4" t="s">
        <v>17</v>
      </c>
      <c r="D10" s="10" t="s">
        <v>39</v>
      </c>
      <c r="E10" s="4" t="s">
        <v>122</v>
      </c>
      <c r="F10" s="4" t="s">
        <v>18</v>
      </c>
    </row>
    <row r="11" spans="1:6">
      <c r="A11" t="str">
        <f>"step"&amp;ROW()-10</f>
        <v>step1</v>
      </c>
      <c r="B11" s="2" t="s">
        <v>94</v>
      </c>
      <c r="C11" s="5" t="s">
        <v>97</v>
      </c>
      <c r="D11" s="11">
        <v>1</v>
      </c>
      <c r="E11" s="5"/>
      <c r="F11" s="5"/>
    </row>
    <row r="12" spans="1:6">
      <c r="A12" t="str">
        <f t="shared" ref="A12:A73" si="0">"step"&amp;ROW()-10</f>
        <v>step2</v>
      </c>
      <c r="B12" s="2" t="s">
        <v>1</v>
      </c>
      <c r="C12" s="5" t="s">
        <v>2</v>
      </c>
      <c r="E12" s="5"/>
      <c r="F12" s="5" t="s">
        <v>53</v>
      </c>
    </row>
    <row r="13" spans="1:6">
      <c r="A13" t="str">
        <f t="shared" si="0"/>
        <v>step3</v>
      </c>
      <c r="B13" s="2" t="s">
        <v>1</v>
      </c>
      <c r="C13" s="5" t="s">
        <v>3</v>
      </c>
      <c r="E13" s="5"/>
      <c r="F13" s="5" t="s">
        <v>52</v>
      </c>
    </row>
    <row r="14" spans="1:6">
      <c r="A14" t="str">
        <f t="shared" si="0"/>
        <v>step4</v>
      </c>
      <c r="B14" s="2" t="s">
        <v>99</v>
      </c>
      <c r="C14" s="5"/>
      <c r="D14" s="11">
        <v>1000</v>
      </c>
      <c r="E14" s="5"/>
      <c r="F14" s="5"/>
    </row>
    <row r="15" spans="1:6">
      <c r="A15" t="str">
        <f t="shared" si="0"/>
        <v>step5</v>
      </c>
      <c r="B15" s="2" t="s">
        <v>4</v>
      </c>
      <c r="C15" s="5" t="s">
        <v>5</v>
      </c>
      <c r="D15" s="11" t="s">
        <v>75</v>
      </c>
      <c r="E15" s="5"/>
      <c r="F15" s="5"/>
    </row>
    <row r="16" spans="1:6">
      <c r="A16" t="str">
        <f t="shared" si="0"/>
        <v>step6</v>
      </c>
      <c r="B16" s="2" t="s">
        <v>84</v>
      </c>
      <c r="C16" s="5" t="s">
        <v>24</v>
      </c>
      <c r="D16" s="11" t="s">
        <v>40</v>
      </c>
      <c r="E16" s="5"/>
      <c r="F16" s="5" t="s">
        <v>54</v>
      </c>
    </row>
    <row r="17" spans="1:6">
      <c r="A17" t="str">
        <f t="shared" si="0"/>
        <v>step7</v>
      </c>
      <c r="B17" s="2" t="s">
        <v>99</v>
      </c>
      <c r="C17" s="5"/>
      <c r="D17" s="11">
        <v>1000</v>
      </c>
      <c r="E17" s="5"/>
      <c r="F17" s="5"/>
    </row>
    <row r="18" spans="1:6">
      <c r="A18" t="str">
        <f t="shared" si="0"/>
        <v>step8</v>
      </c>
      <c r="B18" s="2" t="s">
        <v>7</v>
      </c>
      <c r="C18" s="5" t="s">
        <v>8</v>
      </c>
      <c r="E18" s="5"/>
      <c r="F18" s="5"/>
    </row>
    <row r="19" spans="1:6">
      <c r="A19" t="str">
        <f t="shared" si="0"/>
        <v>step9</v>
      </c>
      <c r="B19" s="17" t="s">
        <v>102</v>
      </c>
      <c r="C19" s="18" t="s">
        <v>104</v>
      </c>
      <c r="D19" s="19"/>
      <c r="E19" s="17"/>
      <c r="F19" s="17"/>
    </row>
    <row r="20" spans="1:6">
      <c r="A20" t="str">
        <f t="shared" si="0"/>
        <v>step10</v>
      </c>
      <c r="B20" s="2" t="s">
        <v>0</v>
      </c>
      <c r="C20" s="6" t="s">
        <v>10</v>
      </c>
      <c r="D20" s="12"/>
      <c r="E20" s="5"/>
      <c r="F20" s="5" t="s">
        <v>19</v>
      </c>
    </row>
    <row r="21" spans="1:6">
      <c r="A21" t="str">
        <f t="shared" si="0"/>
        <v>step11</v>
      </c>
      <c r="B21" s="2" t="s">
        <v>11</v>
      </c>
      <c r="C21" s="5" t="s">
        <v>12</v>
      </c>
      <c r="D21" s="11" t="s">
        <v>41</v>
      </c>
      <c r="E21" s="5"/>
      <c r="F21" s="5"/>
    </row>
    <row r="22" spans="1:6">
      <c r="A22" t="str">
        <f t="shared" si="0"/>
        <v>step12</v>
      </c>
      <c r="B22" s="2" t="s">
        <v>11</v>
      </c>
      <c r="C22" s="5" t="s">
        <v>12</v>
      </c>
      <c r="D22" s="16" t="s">
        <v>44</v>
      </c>
      <c r="E22" s="5"/>
      <c r="F22" s="5"/>
    </row>
    <row r="23" spans="1:6">
      <c r="A23" t="str">
        <f t="shared" si="0"/>
        <v>step13</v>
      </c>
      <c r="B23" s="2" t="s">
        <v>6</v>
      </c>
      <c r="C23" s="5" t="s">
        <v>13</v>
      </c>
      <c r="E23" s="5"/>
      <c r="F23" s="5" t="s">
        <v>57</v>
      </c>
    </row>
    <row r="24" spans="1:6">
      <c r="A24" t="str">
        <f t="shared" si="0"/>
        <v>step14</v>
      </c>
      <c r="B24" s="2" t="s">
        <v>14</v>
      </c>
      <c r="C24" s="5" t="s">
        <v>55</v>
      </c>
      <c r="D24" s="5" t="s">
        <v>56</v>
      </c>
      <c r="E24" s="5"/>
      <c r="F24" s="5" t="s">
        <v>58</v>
      </c>
    </row>
    <row r="25" spans="1:6">
      <c r="A25" t="str">
        <f t="shared" si="0"/>
        <v>step15</v>
      </c>
      <c r="B25" s="2" t="s">
        <v>14</v>
      </c>
      <c r="C25" s="5" t="s">
        <v>15</v>
      </c>
      <c r="E25" s="2" t="s">
        <v>123</v>
      </c>
      <c r="F25" s="5" t="s">
        <v>59</v>
      </c>
    </row>
    <row r="26" spans="1:6">
      <c r="A26" t="str">
        <f t="shared" si="0"/>
        <v>step16</v>
      </c>
      <c r="B26" s="17" t="s">
        <v>115</v>
      </c>
      <c r="C26" s="18" t="s">
        <v>121</v>
      </c>
      <c r="D26" s="19"/>
      <c r="E26" s="2" t="s">
        <v>123</v>
      </c>
      <c r="F26" s="2" t="s">
        <v>189</v>
      </c>
    </row>
    <row r="27" spans="1:6">
      <c r="A27" t="str">
        <f t="shared" si="0"/>
        <v>step17</v>
      </c>
      <c r="B27" s="17" t="s">
        <v>102</v>
      </c>
      <c r="C27" s="18" t="s">
        <v>118</v>
      </c>
      <c r="D27" s="19"/>
      <c r="F27" s="2"/>
    </row>
    <row r="28" spans="1:6">
      <c r="A28" t="str">
        <f t="shared" si="0"/>
        <v>step18</v>
      </c>
      <c r="B28" s="17" t="s">
        <v>116</v>
      </c>
      <c r="C28" s="18" t="s">
        <v>120</v>
      </c>
      <c r="D28" s="19" t="str">
        <f>$D$2</f>
        <v>1800_Pur Req(Comm Mgmt)</v>
      </c>
      <c r="F28" s="2"/>
    </row>
    <row r="29" spans="1:6">
      <c r="A29" t="str">
        <f t="shared" si="0"/>
        <v>step19</v>
      </c>
      <c r="B29" s="17" t="s">
        <v>115</v>
      </c>
      <c r="C29" s="18" t="s">
        <v>121</v>
      </c>
      <c r="D29" s="19"/>
      <c r="E29" s="2" t="s">
        <v>123</v>
      </c>
      <c r="F29" s="2"/>
    </row>
    <row r="30" spans="1:6">
      <c r="A30" t="str">
        <f t="shared" si="0"/>
        <v>step20</v>
      </c>
      <c r="B30" s="17" t="s">
        <v>119</v>
      </c>
      <c r="C30" s="18" t="s">
        <v>118</v>
      </c>
      <c r="D30" s="19"/>
      <c r="F30" s="2"/>
    </row>
    <row r="31" spans="1:6">
      <c r="A31" t="str">
        <f t="shared" si="0"/>
        <v>step21</v>
      </c>
      <c r="B31" s="17" t="s">
        <v>102</v>
      </c>
      <c r="C31" s="18" t="s">
        <v>117</v>
      </c>
      <c r="D31" s="19"/>
      <c r="F31" s="2"/>
    </row>
    <row r="32" spans="1:6">
      <c r="A32" t="str">
        <f t="shared" si="0"/>
        <v>step22</v>
      </c>
      <c r="B32" s="17" t="s">
        <v>14</v>
      </c>
      <c r="C32" s="18" t="s">
        <v>83</v>
      </c>
      <c r="D32" s="19" t="str">
        <f>$D$2</f>
        <v>1800_Pur Req(Comm Mgmt)</v>
      </c>
      <c r="E32" s="2" t="s">
        <v>132</v>
      </c>
      <c r="F32" s="2" t="s">
        <v>77</v>
      </c>
    </row>
    <row r="33" spans="1:6">
      <c r="A33" t="str">
        <f t="shared" si="0"/>
        <v>step23</v>
      </c>
      <c r="B33" s="2" t="s">
        <v>99</v>
      </c>
      <c r="C33" s="5"/>
      <c r="D33" s="11">
        <v>1000</v>
      </c>
      <c r="E33" s="5"/>
      <c r="F33" s="5"/>
    </row>
    <row r="34" spans="1:6">
      <c r="A34" t="str">
        <f t="shared" si="0"/>
        <v>step24</v>
      </c>
      <c r="B34" s="14" t="s">
        <v>11</v>
      </c>
      <c r="C34" s="15" t="s">
        <v>25</v>
      </c>
      <c r="D34" s="16"/>
      <c r="F34" s="18" t="s">
        <v>45</v>
      </c>
    </row>
    <row r="35" spans="1:6">
      <c r="A35" t="str">
        <f t="shared" si="0"/>
        <v>step25</v>
      </c>
      <c r="B35" s="14" t="s">
        <v>11</v>
      </c>
      <c r="C35" s="15" t="s">
        <v>12</v>
      </c>
      <c r="D35" s="16" t="s">
        <v>44</v>
      </c>
      <c r="F35" s="2" t="s">
        <v>108</v>
      </c>
    </row>
    <row r="36" spans="1:6">
      <c r="A36" t="str">
        <f t="shared" si="0"/>
        <v>step26</v>
      </c>
      <c r="B36" s="14" t="s">
        <v>11</v>
      </c>
      <c r="C36" s="15" t="s">
        <v>12</v>
      </c>
      <c r="D36" s="16" t="s">
        <v>44</v>
      </c>
      <c r="E36" s="14"/>
      <c r="F36" s="14"/>
    </row>
    <row r="37" spans="1:6">
      <c r="A37" s="20" t="s">
        <v>174</v>
      </c>
      <c r="B37" s="20" t="s">
        <v>174</v>
      </c>
      <c r="C37" s="18"/>
      <c r="D37" s="19"/>
      <c r="E37" s="17"/>
      <c r="F37" s="18"/>
    </row>
    <row r="38" spans="1:6">
      <c r="A38" t="str">
        <f t="shared" si="0"/>
        <v>step28</v>
      </c>
      <c r="B38" s="2" t="s">
        <v>7</v>
      </c>
      <c r="C38" s="17" t="s">
        <v>65</v>
      </c>
      <c r="D38" s="19"/>
      <c r="E38"/>
      <c r="F38" s="17" t="s">
        <v>64</v>
      </c>
    </row>
    <row r="39" spans="1:6">
      <c r="A39" t="str">
        <f t="shared" si="0"/>
        <v>step29</v>
      </c>
      <c r="B39" s="14" t="s">
        <v>11</v>
      </c>
      <c r="C39" s="15" t="s">
        <v>25</v>
      </c>
      <c r="D39" s="16"/>
      <c r="E39" s="18"/>
      <c r="F39" s="18" t="s">
        <v>45</v>
      </c>
    </row>
    <row r="40" spans="1:6">
      <c r="A40" t="str">
        <f t="shared" si="0"/>
        <v>step30</v>
      </c>
      <c r="B40" s="14" t="s">
        <v>11</v>
      </c>
      <c r="C40" s="15" t="s">
        <v>12</v>
      </c>
      <c r="D40" s="16">
        <v>0</v>
      </c>
      <c r="E40" s="14"/>
      <c r="F40" s="14"/>
    </row>
    <row r="41" spans="1:6">
      <c r="A41" t="str">
        <f t="shared" si="0"/>
        <v>step31</v>
      </c>
      <c r="B41" s="14" t="s">
        <v>11</v>
      </c>
      <c r="C41" s="15" t="s">
        <v>12</v>
      </c>
      <c r="D41" s="16">
        <v>1</v>
      </c>
      <c r="F41" s="2" t="s">
        <v>63</v>
      </c>
    </row>
    <row r="42" spans="1:6">
      <c r="A42" t="str">
        <f t="shared" si="0"/>
        <v>step32</v>
      </c>
      <c r="B42" s="2" t="s">
        <v>66</v>
      </c>
      <c r="C42" s="5"/>
      <c r="D42" s="11">
        <v>1000</v>
      </c>
      <c r="E42" s="5"/>
      <c r="F42" s="5"/>
    </row>
    <row r="43" spans="1:6">
      <c r="A43" t="str">
        <f t="shared" si="0"/>
        <v>step33</v>
      </c>
      <c r="B43" s="2" t="s">
        <v>28</v>
      </c>
      <c r="C43" s="2" t="s">
        <v>26</v>
      </c>
      <c r="D43" s="11" t="str">
        <f ca="1">$D$3</f>
        <v>1800_Pur Req(Comm Mgmt)20210408133432</v>
      </c>
      <c r="F43" s="2" t="s">
        <v>81</v>
      </c>
    </row>
    <row r="44" spans="1:6">
      <c r="A44" t="str">
        <f t="shared" si="0"/>
        <v>step34</v>
      </c>
      <c r="B44" s="2" t="s">
        <v>28</v>
      </c>
      <c r="C44" s="2" t="s">
        <v>27</v>
      </c>
      <c r="D44" s="11" t="str">
        <f ca="1" xml:space="preserve"> C44&amp;":"&amp;$D$3</f>
        <v>name=draft_comment:1800_Pur Req(Comm Mgmt)20210408133432</v>
      </c>
      <c r="F44" s="2"/>
    </row>
    <row r="45" spans="1:6">
      <c r="A45" t="str">
        <f t="shared" si="0"/>
        <v>step35</v>
      </c>
      <c r="B45" s="2" t="s">
        <v>28</v>
      </c>
      <c r="C45" s="2" t="s">
        <v>29</v>
      </c>
      <c r="D45" s="11" t="str">
        <f ca="1" xml:space="preserve"> $D$3</f>
        <v>1800_Pur Req(Comm Mgmt)20210408133432</v>
      </c>
      <c r="F45" s="2"/>
    </row>
    <row r="46" spans="1:6">
      <c r="A46" t="str">
        <f t="shared" si="0"/>
        <v>step36</v>
      </c>
      <c r="B46" s="2" t="s">
        <v>28</v>
      </c>
      <c r="C46" s="2" t="s">
        <v>38</v>
      </c>
      <c r="D46" s="11" t="str">
        <f ca="1" xml:space="preserve"> C46&amp;":"&amp;$D$3</f>
        <v>name=mail_body:1800_Pur Req(Comm Mgmt)20210408133432</v>
      </c>
      <c r="F46" s="2"/>
    </row>
    <row r="47" spans="1:6">
      <c r="A47" t="str">
        <f t="shared" si="0"/>
        <v>step37</v>
      </c>
      <c r="B47" s="17" t="s">
        <v>61</v>
      </c>
      <c r="C47" s="17" t="s">
        <v>30</v>
      </c>
      <c r="D47" s="19">
        <v>1000</v>
      </c>
      <c r="E47" s="17"/>
      <c r="F47" s="17" t="s">
        <v>60</v>
      </c>
    </row>
    <row r="48" spans="1:6">
      <c r="A48" t="str">
        <f t="shared" si="0"/>
        <v>step38</v>
      </c>
      <c r="B48" s="2" t="s">
        <v>66</v>
      </c>
      <c r="C48" s="5"/>
      <c r="D48" s="11">
        <v>1000</v>
      </c>
      <c r="E48" s="5"/>
      <c r="F48" s="5"/>
    </row>
    <row r="49" spans="1:6">
      <c r="A49" t="str">
        <f t="shared" si="0"/>
        <v>step39</v>
      </c>
      <c r="B49" s="17" t="s">
        <v>7</v>
      </c>
      <c r="C49" s="17" t="s">
        <v>30</v>
      </c>
      <c r="D49" s="19"/>
      <c r="E49" s="2" t="s">
        <v>123</v>
      </c>
      <c r="F49" s="2"/>
    </row>
    <row r="50" spans="1:6">
      <c r="A50" t="str">
        <f t="shared" si="0"/>
        <v>step40</v>
      </c>
      <c r="B50" s="2" t="s">
        <v>7</v>
      </c>
      <c r="C50" s="5" t="s">
        <v>31</v>
      </c>
      <c r="E50" s="2" t="s">
        <v>123</v>
      </c>
      <c r="F50" s="2"/>
    </row>
    <row r="51" spans="1:6">
      <c r="A51" t="str">
        <f t="shared" si="0"/>
        <v>step41</v>
      </c>
      <c r="B51" s="2" t="s">
        <v>7</v>
      </c>
      <c r="C51" s="5" t="s">
        <v>32</v>
      </c>
      <c r="E51" s="2" t="s">
        <v>123</v>
      </c>
      <c r="F51" s="2"/>
    </row>
    <row r="52" spans="1:6">
      <c r="A52" t="str">
        <f t="shared" si="0"/>
        <v>step42</v>
      </c>
      <c r="B52" s="2" t="s">
        <v>7</v>
      </c>
      <c r="C52" s="5" t="s">
        <v>33</v>
      </c>
      <c r="E52" s="2" t="s">
        <v>123</v>
      </c>
      <c r="F52" s="2"/>
    </row>
    <row r="53" spans="1:6">
      <c r="A53" t="str">
        <f t="shared" si="0"/>
        <v>step43</v>
      </c>
      <c r="B53" s="2" t="s">
        <v>7</v>
      </c>
      <c r="C53" s="5" t="s">
        <v>34</v>
      </c>
      <c r="E53" s="2" t="s">
        <v>123</v>
      </c>
      <c r="F53" s="2"/>
    </row>
    <row r="54" spans="1:6">
      <c r="A54" t="str">
        <f t="shared" si="0"/>
        <v>step44</v>
      </c>
      <c r="B54" s="2" t="s">
        <v>7</v>
      </c>
      <c r="C54" s="5" t="s">
        <v>35</v>
      </c>
      <c r="F54" s="2" t="s">
        <v>68</v>
      </c>
    </row>
    <row r="55" spans="1:6">
      <c r="A55" t="str">
        <f t="shared" si="0"/>
        <v>step45</v>
      </c>
      <c r="B55" s="2" t="s">
        <v>7</v>
      </c>
      <c r="C55" s="2" t="s">
        <v>36</v>
      </c>
      <c r="E55" s="2" t="s">
        <v>123</v>
      </c>
      <c r="F55" s="2"/>
    </row>
    <row r="56" spans="1:6">
      <c r="A56" t="str">
        <f t="shared" si="0"/>
        <v>step46</v>
      </c>
      <c r="B56" s="14" t="s">
        <v>11</v>
      </c>
      <c r="C56" s="14" t="s">
        <v>113</v>
      </c>
      <c r="D56" s="16" t="s">
        <v>43</v>
      </c>
      <c r="E56" s="14"/>
      <c r="F56" s="14" t="s">
        <v>37</v>
      </c>
    </row>
    <row r="57" spans="1:6">
      <c r="A57" t="str">
        <f t="shared" si="0"/>
        <v>step47</v>
      </c>
      <c r="B57" s="14" t="s">
        <v>11</v>
      </c>
      <c r="C57" s="15" t="s">
        <v>25</v>
      </c>
      <c r="D57" s="16"/>
      <c r="E57" s="18"/>
      <c r="F57" s="18" t="s">
        <v>45</v>
      </c>
    </row>
    <row r="58" spans="1:6">
      <c r="A58" t="str">
        <f t="shared" si="0"/>
        <v>step48</v>
      </c>
      <c r="B58" s="14" t="s">
        <v>11</v>
      </c>
      <c r="C58" s="15" t="s">
        <v>12</v>
      </c>
      <c r="D58" s="16" t="s">
        <v>44</v>
      </c>
      <c r="F58" s="2"/>
    </row>
    <row r="59" spans="1:6">
      <c r="A59" t="str">
        <f t="shared" si="0"/>
        <v>step49</v>
      </c>
      <c r="B59" s="14" t="s">
        <v>11</v>
      </c>
      <c r="C59" s="15" t="s">
        <v>12</v>
      </c>
      <c r="D59" s="16" t="s">
        <v>42</v>
      </c>
      <c r="F59" s="2" t="s">
        <v>63</v>
      </c>
    </row>
    <row r="60" spans="1:6">
      <c r="A60" t="str">
        <f t="shared" si="0"/>
        <v>step50</v>
      </c>
      <c r="B60" s="17" t="s">
        <v>61</v>
      </c>
      <c r="C60" s="17" t="s">
        <v>48</v>
      </c>
      <c r="D60" s="19">
        <v>1000</v>
      </c>
      <c r="E60" s="17"/>
      <c r="F60" s="17" t="s">
        <v>62</v>
      </c>
    </row>
    <row r="61" spans="1:6">
      <c r="A61" t="str">
        <f t="shared" si="0"/>
        <v>step51</v>
      </c>
      <c r="B61" s="2" t="s">
        <v>66</v>
      </c>
      <c r="C61" s="5"/>
      <c r="D61" s="11">
        <v>1000</v>
      </c>
      <c r="E61" s="5"/>
      <c r="F61" s="5"/>
    </row>
    <row r="62" spans="1:6">
      <c r="A62" t="str">
        <f t="shared" si="0"/>
        <v>step52</v>
      </c>
      <c r="B62" s="2" t="s">
        <v>46</v>
      </c>
      <c r="C62" s="2" t="s">
        <v>49</v>
      </c>
      <c r="D62" s="11" t="s">
        <v>73</v>
      </c>
      <c r="F62" s="2"/>
    </row>
    <row r="63" spans="1:6">
      <c r="A63" t="str">
        <f t="shared" si="0"/>
        <v>step53</v>
      </c>
      <c r="B63" s="2" t="s">
        <v>7</v>
      </c>
      <c r="C63" s="2" t="s">
        <v>50</v>
      </c>
      <c r="F63" s="2"/>
    </row>
    <row r="64" spans="1:6">
      <c r="A64" t="str">
        <f t="shared" si="0"/>
        <v>step54</v>
      </c>
      <c r="B64" s="2" t="s">
        <v>46</v>
      </c>
      <c r="C64" s="2" t="s">
        <v>49</v>
      </c>
      <c r="D64" s="11" t="s">
        <v>73</v>
      </c>
      <c r="F64" s="2"/>
    </row>
    <row r="65" spans="1:6">
      <c r="A65" t="str">
        <f t="shared" si="0"/>
        <v>step55</v>
      </c>
      <c r="B65" s="17" t="s">
        <v>76</v>
      </c>
      <c r="C65" s="2" t="s">
        <v>51</v>
      </c>
      <c r="D65" s="11" t="s">
        <v>74</v>
      </c>
      <c r="F65" s="2"/>
    </row>
    <row r="66" spans="1:6">
      <c r="A66" t="str">
        <f t="shared" si="0"/>
        <v>step56</v>
      </c>
      <c r="B66" s="2" t="s">
        <v>7</v>
      </c>
      <c r="C66" s="2" t="s">
        <v>50</v>
      </c>
      <c r="F66" s="2"/>
    </row>
    <row r="67" spans="1:6">
      <c r="A67" t="str">
        <f t="shared" si="0"/>
        <v>step57</v>
      </c>
      <c r="B67" s="2" t="s">
        <v>7</v>
      </c>
      <c r="C67" s="2" t="s">
        <v>36</v>
      </c>
      <c r="F67" s="2"/>
    </row>
    <row r="68" spans="1:6">
      <c r="A68" t="str">
        <f t="shared" si="0"/>
        <v>step58</v>
      </c>
      <c r="B68" s="14" t="s">
        <v>11</v>
      </c>
      <c r="C68" s="14" t="s">
        <v>113</v>
      </c>
      <c r="D68" s="16" t="s">
        <v>43</v>
      </c>
      <c r="E68" s="14"/>
      <c r="F68" s="14" t="s">
        <v>37</v>
      </c>
    </row>
    <row r="69" spans="1:6">
      <c r="A69" t="str">
        <f t="shared" si="0"/>
        <v>step59</v>
      </c>
      <c r="B69" s="14" t="s">
        <v>11</v>
      </c>
      <c r="C69" s="15" t="s">
        <v>12</v>
      </c>
      <c r="D69" s="16" t="s">
        <v>44</v>
      </c>
      <c r="F69" s="2"/>
    </row>
    <row r="70" spans="1:6">
      <c r="A70" t="str">
        <f t="shared" si="0"/>
        <v>step60</v>
      </c>
      <c r="B70" s="14" t="s">
        <v>11</v>
      </c>
      <c r="C70" s="15" t="s">
        <v>12</v>
      </c>
      <c r="D70" s="16" t="s">
        <v>42</v>
      </c>
      <c r="F70" s="2" t="s">
        <v>63</v>
      </c>
    </row>
    <row r="71" spans="1:6">
      <c r="A71" t="str">
        <f t="shared" si="0"/>
        <v>step61</v>
      </c>
      <c r="B71" s="2" t="s">
        <v>7</v>
      </c>
      <c r="C71" s="2" t="s">
        <v>67</v>
      </c>
      <c r="D71" s="19"/>
      <c r="F71" s="2"/>
    </row>
    <row r="72" spans="1:6">
      <c r="A72" t="str">
        <f t="shared" si="0"/>
        <v>step62</v>
      </c>
      <c r="B72" s="14" t="s">
        <v>100</v>
      </c>
      <c r="C72" s="15" t="s">
        <v>69</v>
      </c>
      <c r="F72" s="2"/>
    </row>
    <row r="73" spans="1:6">
      <c r="A73" t="str">
        <f t="shared" si="0"/>
        <v>step63</v>
      </c>
      <c r="B73" s="2" t="s">
        <v>66</v>
      </c>
      <c r="D73" s="11">
        <v>1000</v>
      </c>
      <c r="F73" s="2"/>
    </row>
    <row r="74" spans="1:6">
      <c r="A74" t="str">
        <f t="shared" ref="A74:A131" si="1">"step"&amp;ROW()-10</f>
        <v>step64</v>
      </c>
      <c r="B74" s="2" t="s">
        <v>46</v>
      </c>
      <c r="C74" s="5"/>
      <c r="D74" s="11" t="s">
        <v>47</v>
      </c>
      <c r="F74" s="2"/>
    </row>
    <row r="75" spans="1:6">
      <c r="A75" t="str">
        <f t="shared" si="1"/>
        <v>step65</v>
      </c>
      <c r="B75" s="14" t="s">
        <v>11</v>
      </c>
      <c r="C75" s="14" t="s">
        <v>113</v>
      </c>
      <c r="D75" s="16" t="s">
        <v>43</v>
      </c>
      <c r="E75" s="14"/>
      <c r="F75" s="14" t="s">
        <v>37</v>
      </c>
    </row>
    <row r="76" spans="1:6">
      <c r="A76" s="20" t="str">
        <f t="shared" si="1"/>
        <v>step66</v>
      </c>
      <c r="B76" s="14" t="s">
        <v>11</v>
      </c>
      <c r="C76" s="15" t="s">
        <v>25</v>
      </c>
      <c r="D76" s="16"/>
      <c r="E76" s="18"/>
      <c r="F76" s="18"/>
    </row>
    <row r="77" spans="1:6">
      <c r="A77" t="str">
        <f t="shared" si="1"/>
        <v>step67</v>
      </c>
      <c r="B77" s="14" t="s">
        <v>11</v>
      </c>
      <c r="C77" s="15" t="s">
        <v>12</v>
      </c>
      <c r="D77" s="16">
        <v>0</v>
      </c>
      <c r="F77" s="2"/>
    </row>
    <row r="78" spans="1:6">
      <c r="A78" t="str">
        <f t="shared" si="1"/>
        <v>step68</v>
      </c>
      <c r="B78" s="17" t="s">
        <v>144</v>
      </c>
      <c r="C78" s="32" t="s">
        <v>145</v>
      </c>
      <c r="D78" s="19">
        <v>0</v>
      </c>
      <c r="E78" s="17"/>
      <c r="F78" s="17"/>
    </row>
    <row r="79" spans="1:6" ht="37.5">
      <c r="A79" t="str">
        <f t="shared" si="1"/>
        <v>step69</v>
      </c>
      <c r="B79" s="2" t="s">
        <v>133</v>
      </c>
      <c r="C79" s="31" t="s">
        <v>180</v>
      </c>
      <c r="F79" s="2" t="s">
        <v>98</v>
      </c>
    </row>
    <row r="80" spans="1:6" ht="37.5">
      <c r="A80" t="str">
        <f t="shared" si="1"/>
        <v>step70</v>
      </c>
      <c r="B80" s="2" t="s">
        <v>133</v>
      </c>
      <c r="C80" s="31" t="s">
        <v>141</v>
      </c>
      <c r="D80" s="19"/>
      <c r="E80" s="17"/>
      <c r="F80" s="17" t="s">
        <v>129</v>
      </c>
    </row>
    <row r="81" spans="1:6">
      <c r="A81" t="str">
        <f t="shared" si="1"/>
        <v>step71</v>
      </c>
      <c r="B81" s="17" t="s">
        <v>102</v>
      </c>
      <c r="C81" s="32" t="s">
        <v>140</v>
      </c>
      <c r="D81" s="19"/>
      <c r="E81" s="17"/>
      <c r="F81" s="17"/>
    </row>
    <row r="82" spans="1:6">
      <c r="A82" t="str">
        <f t="shared" si="1"/>
        <v>step72</v>
      </c>
      <c r="B82" s="2" t="s">
        <v>177</v>
      </c>
      <c r="C82" s="32" t="s">
        <v>145</v>
      </c>
      <c r="D82" s="19">
        <v>1</v>
      </c>
      <c r="E82" s="17"/>
      <c r="F82" s="17"/>
    </row>
    <row r="83" spans="1:6">
      <c r="A83" t="str">
        <f t="shared" si="1"/>
        <v>step73</v>
      </c>
      <c r="B83" s="2" t="s">
        <v>137</v>
      </c>
      <c r="C83" s="5" t="s">
        <v>138</v>
      </c>
      <c r="F83" s="2" t="s">
        <v>136</v>
      </c>
    </row>
    <row r="84" spans="1:6">
      <c r="A84" t="str">
        <f t="shared" si="1"/>
        <v>step74</v>
      </c>
      <c r="B84" s="2" t="s">
        <v>137</v>
      </c>
      <c r="C84" s="5" t="s">
        <v>187</v>
      </c>
      <c r="F84" s="2" t="s">
        <v>136</v>
      </c>
    </row>
    <row r="85" spans="1:6">
      <c r="A85" t="str">
        <f t="shared" si="1"/>
        <v>step75</v>
      </c>
      <c r="B85" s="17" t="s">
        <v>102</v>
      </c>
      <c r="C85" s="32" t="s">
        <v>186</v>
      </c>
      <c r="D85" s="19"/>
      <c r="E85" s="17"/>
      <c r="F85" s="17" t="s">
        <v>129</v>
      </c>
    </row>
    <row r="86" spans="1:6" ht="37.5">
      <c r="A86" t="str">
        <f t="shared" si="1"/>
        <v>step76</v>
      </c>
      <c r="B86" s="26" t="s">
        <v>7</v>
      </c>
      <c r="C86" s="31" t="s">
        <v>109</v>
      </c>
      <c r="D86" s="28"/>
      <c r="E86" s="26"/>
      <c r="F86" s="26" t="s">
        <v>78</v>
      </c>
    </row>
    <row r="87" spans="1:6">
      <c r="A87" t="str">
        <f t="shared" si="1"/>
        <v>step77</v>
      </c>
      <c r="B87" s="26" t="s">
        <v>131</v>
      </c>
      <c r="C87" s="31" t="s">
        <v>111</v>
      </c>
      <c r="D87" s="28"/>
      <c r="E87" s="26"/>
      <c r="F87" s="26" t="s">
        <v>78</v>
      </c>
    </row>
    <row r="88" spans="1:6">
      <c r="A88" t="str">
        <f t="shared" si="1"/>
        <v>step78</v>
      </c>
      <c r="B88" s="17" t="s">
        <v>102</v>
      </c>
      <c r="C88" s="32" t="s">
        <v>103</v>
      </c>
      <c r="D88" s="19"/>
      <c r="E88" s="17"/>
      <c r="F88" s="17"/>
    </row>
    <row r="89" spans="1:6" ht="37.5">
      <c r="A89" t="str">
        <f t="shared" si="1"/>
        <v>step79</v>
      </c>
      <c r="B89" s="2" t="s">
        <v>7</v>
      </c>
      <c r="C89" s="30" t="s">
        <v>110</v>
      </c>
      <c r="F89" s="2" t="s">
        <v>96</v>
      </c>
    </row>
    <row r="90" spans="1:6">
      <c r="A90" t="str">
        <f t="shared" si="1"/>
        <v>step80</v>
      </c>
      <c r="B90" s="26" t="s">
        <v>131</v>
      </c>
      <c r="C90" s="27" t="s">
        <v>111</v>
      </c>
      <c r="D90" s="28"/>
      <c r="E90" s="26"/>
      <c r="F90" s="26" t="s">
        <v>78</v>
      </c>
    </row>
    <row r="91" spans="1:6">
      <c r="A91" t="str">
        <f t="shared" si="1"/>
        <v>step81</v>
      </c>
      <c r="B91" s="17" t="s">
        <v>102</v>
      </c>
      <c r="C91" s="18" t="s">
        <v>106</v>
      </c>
      <c r="D91" s="19"/>
      <c r="E91" s="17"/>
      <c r="F91" s="17"/>
    </row>
    <row r="92" spans="1:6">
      <c r="A92" t="str">
        <f t="shared" si="1"/>
        <v>step82</v>
      </c>
      <c r="B92" s="14" t="s">
        <v>100</v>
      </c>
      <c r="C92" s="15" t="s">
        <v>69</v>
      </c>
      <c r="F92" s="2"/>
    </row>
    <row r="93" spans="1:6">
      <c r="A93" t="str">
        <f t="shared" si="1"/>
        <v>step83</v>
      </c>
      <c r="B93" s="2" t="s">
        <v>46</v>
      </c>
      <c r="C93" s="5"/>
      <c r="D93" s="11" t="s">
        <v>47</v>
      </c>
      <c r="F93" s="2"/>
    </row>
    <row r="94" spans="1:6">
      <c r="A94" t="str">
        <f t="shared" si="1"/>
        <v>step84</v>
      </c>
      <c r="B94" s="2" t="s">
        <v>46</v>
      </c>
      <c r="C94" s="5"/>
      <c r="D94" s="11" t="s">
        <v>47</v>
      </c>
      <c r="F94" s="2"/>
    </row>
    <row r="95" spans="1:6">
      <c r="A95" t="str">
        <f t="shared" si="1"/>
        <v>step85</v>
      </c>
      <c r="B95" s="17" t="s">
        <v>102</v>
      </c>
      <c r="C95" s="18" t="s">
        <v>179</v>
      </c>
      <c r="D95" s="19"/>
      <c r="E95" s="17"/>
      <c r="F95" s="17"/>
    </row>
    <row r="96" spans="1:6">
      <c r="A96" s="20" t="str">
        <f t="shared" si="1"/>
        <v>step86</v>
      </c>
      <c r="B96" s="2" t="s">
        <v>79</v>
      </c>
      <c r="C96" s="25" t="s">
        <v>112</v>
      </c>
      <c r="F96" s="2" t="s">
        <v>80</v>
      </c>
    </row>
    <row r="97" spans="1:6">
      <c r="A97" s="20" t="str">
        <f t="shared" si="1"/>
        <v>step87</v>
      </c>
      <c r="B97" s="14" t="s">
        <v>11</v>
      </c>
      <c r="C97" s="15" t="s">
        <v>12</v>
      </c>
      <c r="D97" s="16" t="s">
        <v>41</v>
      </c>
      <c r="E97" s="18"/>
      <c r="F97" s="18"/>
    </row>
    <row r="98" spans="1:6">
      <c r="A98" s="20" t="str">
        <f t="shared" si="1"/>
        <v>step88</v>
      </c>
      <c r="B98" s="14" t="s">
        <v>11</v>
      </c>
      <c r="C98" s="15" t="s">
        <v>12</v>
      </c>
      <c r="D98" s="16">
        <v>1</v>
      </c>
      <c r="E98" s="14"/>
      <c r="F98" s="14" t="s">
        <v>93</v>
      </c>
    </row>
    <row r="99" spans="1:6" ht="37.5">
      <c r="A99" s="20" t="str">
        <f t="shared" si="1"/>
        <v>step89</v>
      </c>
      <c r="B99" s="17" t="s">
        <v>107</v>
      </c>
      <c r="C99" s="32" t="s">
        <v>143</v>
      </c>
      <c r="D99" s="11" t="str">
        <f ca="1">$D$3</f>
        <v>1800_Pur Req(Comm Mgmt)20210408133432</v>
      </c>
      <c r="F99" s="2" t="s">
        <v>181</v>
      </c>
    </row>
    <row r="100" spans="1:6">
      <c r="A100" s="20" t="str">
        <f t="shared" si="1"/>
        <v>step90</v>
      </c>
      <c r="B100" s="17" t="s">
        <v>14</v>
      </c>
      <c r="C100" s="18" t="s">
        <v>83</v>
      </c>
      <c r="D100" s="11" t="str">
        <f ca="1">$D$3</f>
        <v>1800_Pur Req(Comm Mgmt)20210408133432</v>
      </c>
      <c r="F100" s="2" t="s">
        <v>77</v>
      </c>
    </row>
    <row r="101" spans="1:6">
      <c r="A101" s="20" t="str">
        <f t="shared" si="1"/>
        <v>step91</v>
      </c>
      <c r="B101" s="14" t="s">
        <v>11</v>
      </c>
      <c r="C101" s="15" t="s">
        <v>25</v>
      </c>
      <c r="D101" s="16"/>
      <c r="E101" s="18"/>
      <c r="F101" s="18"/>
    </row>
    <row r="102" spans="1:6">
      <c r="A102" s="20" t="str">
        <f t="shared" si="1"/>
        <v>step92</v>
      </c>
      <c r="B102" s="14" t="s">
        <v>11</v>
      </c>
      <c r="C102" s="15" t="s">
        <v>12</v>
      </c>
      <c r="D102" s="16">
        <v>0</v>
      </c>
      <c r="E102" s="14"/>
      <c r="F102" s="14"/>
    </row>
    <row r="103" spans="1:6">
      <c r="A103" s="20" t="str">
        <f t="shared" si="1"/>
        <v>step93</v>
      </c>
      <c r="B103" s="14" t="s">
        <v>11</v>
      </c>
      <c r="C103" s="15" t="s">
        <v>12</v>
      </c>
      <c r="D103" s="16">
        <v>1</v>
      </c>
      <c r="E103" s="14"/>
      <c r="F103" s="14"/>
    </row>
    <row r="104" spans="1:6">
      <c r="A104" t="str">
        <f t="shared" si="1"/>
        <v>step94</v>
      </c>
      <c r="B104" s="17" t="s">
        <v>28</v>
      </c>
      <c r="C104" s="17" t="s">
        <v>82</v>
      </c>
      <c r="D104" s="19" t="str">
        <f ca="1" xml:space="preserve"> C104&amp;":"&amp;$D$3&amp;":OK"</f>
        <v>name=receive_comment:1800_Pur Req(Comm Mgmt)20210408133432:OK</v>
      </c>
      <c r="E104" s="17"/>
      <c r="F104" s="17"/>
    </row>
    <row r="105" spans="1:6">
      <c r="A105" s="20" t="str">
        <f t="shared" si="1"/>
        <v>step95</v>
      </c>
      <c r="B105" s="2" t="s">
        <v>7</v>
      </c>
      <c r="C105" s="2" t="s">
        <v>67</v>
      </c>
      <c r="F105" s="2" t="s">
        <v>139</v>
      </c>
    </row>
    <row r="106" spans="1:6">
      <c r="A106" s="20" t="str">
        <f t="shared" si="1"/>
        <v>step96</v>
      </c>
      <c r="B106" s="14" t="s">
        <v>101</v>
      </c>
      <c r="C106" s="15" t="s">
        <v>69</v>
      </c>
      <c r="F106" s="2"/>
    </row>
    <row r="107" spans="1:6">
      <c r="A107" s="20" t="str">
        <f t="shared" si="1"/>
        <v>step97</v>
      </c>
      <c r="B107" s="2" t="s">
        <v>46</v>
      </c>
      <c r="C107" s="5"/>
      <c r="D107" s="11" t="s">
        <v>47</v>
      </c>
      <c r="F107" s="2"/>
    </row>
    <row r="108" spans="1:6">
      <c r="A108" t="str">
        <f t="shared" si="1"/>
        <v>step98</v>
      </c>
      <c r="B108" s="14" t="s">
        <v>11</v>
      </c>
      <c r="C108" s="14" t="s">
        <v>113</v>
      </c>
      <c r="D108" s="16" t="s">
        <v>43</v>
      </c>
      <c r="E108" s="14"/>
      <c r="F108" s="14" t="s">
        <v>37</v>
      </c>
    </row>
    <row r="109" spans="1:6">
      <c r="A109" s="20" t="str">
        <f t="shared" si="1"/>
        <v>step99</v>
      </c>
      <c r="B109" s="14" t="s">
        <v>11</v>
      </c>
      <c r="C109" s="15" t="s">
        <v>25</v>
      </c>
      <c r="D109" s="16"/>
      <c r="E109" s="18"/>
      <c r="F109" s="18"/>
    </row>
    <row r="110" spans="1:6">
      <c r="A110" t="str">
        <f t="shared" si="1"/>
        <v>step100</v>
      </c>
      <c r="B110" s="14" t="s">
        <v>11</v>
      </c>
      <c r="C110" s="15" t="s">
        <v>12</v>
      </c>
      <c r="D110" s="16">
        <v>0</v>
      </c>
      <c r="F110" s="2"/>
    </row>
    <row r="111" spans="1:6" ht="37.5">
      <c r="A111" t="str">
        <f t="shared" si="1"/>
        <v>step101</v>
      </c>
      <c r="B111" s="17" t="s">
        <v>133</v>
      </c>
      <c r="C111" s="32" t="s">
        <v>141</v>
      </c>
      <c r="D111" s="19"/>
      <c r="E111" s="17"/>
      <c r="F111" s="17" t="s">
        <v>182</v>
      </c>
    </row>
    <row r="112" spans="1:6">
      <c r="A112" t="str">
        <f t="shared" si="1"/>
        <v>step102</v>
      </c>
      <c r="B112" s="17" t="s">
        <v>131</v>
      </c>
      <c r="C112" s="18" t="s">
        <v>142</v>
      </c>
      <c r="D112" s="19"/>
      <c r="E112" s="17"/>
      <c r="F112" s="17" t="s">
        <v>183</v>
      </c>
    </row>
    <row r="113" spans="1:6">
      <c r="A113" t="str">
        <f t="shared" si="1"/>
        <v>step103</v>
      </c>
      <c r="B113" s="17" t="s">
        <v>102</v>
      </c>
      <c r="C113" s="18" t="s">
        <v>135</v>
      </c>
      <c r="D113" s="19"/>
      <c r="E113" s="17"/>
      <c r="F113" s="17"/>
    </row>
    <row r="114" spans="1:6">
      <c r="A114" s="20" t="str">
        <f t="shared" si="1"/>
        <v>step104</v>
      </c>
      <c r="B114" s="2" t="s">
        <v>79</v>
      </c>
      <c r="C114" s="25" t="s">
        <v>134</v>
      </c>
      <c r="F114" s="2" t="s">
        <v>86</v>
      </c>
    </row>
    <row r="115" spans="1:6">
      <c r="A115" s="20" t="str">
        <f t="shared" si="1"/>
        <v>step105</v>
      </c>
      <c r="B115" s="14" t="s">
        <v>11</v>
      </c>
      <c r="C115" s="15" t="s">
        <v>12</v>
      </c>
      <c r="D115" s="16" t="s">
        <v>41</v>
      </c>
      <c r="E115" s="18"/>
      <c r="F115" s="18"/>
    </row>
    <row r="116" spans="1:6">
      <c r="A116" s="20" t="str">
        <f t="shared" si="1"/>
        <v>step106</v>
      </c>
      <c r="B116" s="14" t="s">
        <v>11</v>
      </c>
      <c r="C116" s="15" t="s">
        <v>12</v>
      </c>
      <c r="D116" s="16">
        <v>1</v>
      </c>
      <c r="E116" s="14"/>
      <c r="F116" s="14"/>
    </row>
    <row r="117" spans="1:6">
      <c r="A117" s="20" t="str">
        <f t="shared" si="1"/>
        <v>step107</v>
      </c>
      <c r="B117" s="17" t="s">
        <v>61</v>
      </c>
      <c r="C117" s="18" t="s">
        <v>125</v>
      </c>
      <c r="D117" s="11" t="str">
        <f ca="1">$D$3</f>
        <v>1800_Pur Req(Comm Mgmt)20210408133432</v>
      </c>
      <c r="F117" s="2" t="s">
        <v>114</v>
      </c>
    </row>
    <row r="118" spans="1:6">
      <c r="A118" s="20" t="str">
        <f t="shared" si="1"/>
        <v>step108</v>
      </c>
      <c r="B118" s="17" t="s">
        <v>9</v>
      </c>
      <c r="C118" s="18"/>
      <c r="D118" s="19">
        <v>1000</v>
      </c>
      <c r="E118" s="18"/>
      <c r="F118" s="18"/>
    </row>
    <row r="119" spans="1:6">
      <c r="A119" t="str">
        <f t="shared" si="1"/>
        <v>step109</v>
      </c>
      <c r="B119" s="2" t="s">
        <v>7</v>
      </c>
      <c r="C119" s="2" t="s">
        <v>36</v>
      </c>
      <c r="F119" s="2"/>
    </row>
    <row r="120" spans="1:6">
      <c r="A120" t="str">
        <f t="shared" si="1"/>
        <v>step110</v>
      </c>
      <c r="B120" s="14" t="s">
        <v>11</v>
      </c>
      <c r="C120" s="14" t="s">
        <v>113</v>
      </c>
      <c r="D120" s="16" t="s">
        <v>43</v>
      </c>
      <c r="E120" s="14"/>
      <c r="F120" s="14" t="s">
        <v>37</v>
      </c>
    </row>
    <row r="121" spans="1:6">
      <c r="A121" s="20" t="str">
        <f t="shared" si="1"/>
        <v>step111</v>
      </c>
      <c r="B121" s="14" t="s">
        <v>11</v>
      </c>
      <c r="C121" s="15" t="s">
        <v>12</v>
      </c>
      <c r="D121" s="16" t="s">
        <v>41</v>
      </c>
      <c r="E121" s="18"/>
      <c r="F121" s="18"/>
    </row>
    <row r="122" spans="1:6">
      <c r="A122" s="20" t="str">
        <f t="shared" si="1"/>
        <v>step112</v>
      </c>
      <c r="B122" s="14" t="s">
        <v>11</v>
      </c>
      <c r="C122" s="15" t="s">
        <v>12</v>
      </c>
      <c r="D122" s="16">
        <v>1</v>
      </c>
      <c r="E122" s="14"/>
      <c r="F122" s="14"/>
    </row>
    <row r="123" spans="1:6">
      <c r="A123" s="20" t="str">
        <f t="shared" si="1"/>
        <v>step113</v>
      </c>
      <c r="B123" s="17" t="s">
        <v>61</v>
      </c>
      <c r="C123" s="18" t="s">
        <v>124</v>
      </c>
      <c r="D123" s="11" t="str">
        <f ca="1">$D$3</f>
        <v>1800_Pur Req(Comm Mgmt)20210408133432</v>
      </c>
      <c r="F123" s="2" t="s">
        <v>184</v>
      </c>
    </row>
    <row r="124" spans="1:6">
      <c r="A124" s="20" t="str">
        <f t="shared" si="1"/>
        <v>step114</v>
      </c>
      <c r="B124" s="17" t="s">
        <v>9</v>
      </c>
      <c r="C124" s="18"/>
      <c r="D124" s="19">
        <v>1000</v>
      </c>
      <c r="E124" s="18"/>
      <c r="F124" s="18"/>
    </row>
    <row r="125" spans="1:6">
      <c r="A125" t="str">
        <f t="shared" si="1"/>
        <v>step115</v>
      </c>
      <c r="B125" s="2" t="s">
        <v>7</v>
      </c>
      <c r="C125" s="2" t="s">
        <v>36</v>
      </c>
      <c r="F125" s="2"/>
    </row>
    <row r="126" spans="1:6">
      <c r="A126" t="str">
        <f t="shared" si="1"/>
        <v>step116</v>
      </c>
      <c r="B126" s="14" t="s">
        <v>11</v>
      </c>
      <c r="C126" s="14" t="s">
        <v>113</v>
      </c>
      <c r="D126" s="16" t="s">
        <v>43</v>
      </c>
      <c r="E126" s="14"/>
      <c r="F126" s="14" t="s">
        <v>37</v>
      </c>
    </row>
    <row r="127" spans="1:6">
      <c r="A127" s="20" t="str">
        <f t="shared" si="1"/>
        <v>step117</v>
      </c>
      <c r="B127" s="2" t="s">
        <v>79</v>
      </c>
      <c r="C127" s="2" t="s">
        <v>87</v>
      </c>
      <c r="F127" s="2" t="s">
        <v>88</v>
      </c>
    </row>
    <row r="128" spans="1:6">
      <c r="A128" t="str">
        <f t="shared" si="1"/>
        <v>step118</v>
      </c>
      <c r="B128" s="2" t="s">
        <v>95</v>
      </c>
      <c r="C128" s="5" t="s">
        <v>190</v>
      </c>
      <c r="F128" s="2" t="s">
        <v>105</v>
      </c>
    </row>
    <row r="129" spans="1:6">
      <c r="A129" t="str">
        <f t="shared" si="1"/>
        <v>step119</v>
      </c>
      <c r="B129" s="2" t="s">
        <v>95</v>
      </c>
      <c r="C129" s="5" t="s">
        <v>188</v>
      </c>
      <c r="F129" s="2" t="s">
        <v>105</v>
      </c>
    </row>
    <row r="130" spans="1:6">
      <c r="A130" s="20" t="str">
        <f t="shared" si="1"/>
        <v>step120</v>
      </c>
      <c r="B130" s="2" t="s">
        <v>79</v>
      </c>
      <c r="C130" s="25" t="s">
        <v>90</v>
      </c>
      <c r="E130" s="2" t="s">
        <v>148</v>
      </c>
      <c r="F130" s="2" t="s">
        <v>91</v>
      </c>
    </row>
    <row r="131" spans="1:6">
      <c r="A131" s="20" t="str">
        <f t="shared" si="1"/>
        <v>step121</v>
      </c>
      <c r="B131" s="2" t="s">
        <v>89</v>
      </c>
      <c r="F131" s="2"/>
    </row>
  </sheetData>
  <phoneticPr fontId="1"/>
  <conditionalFormatting sqref="F70 B47:D47 B124:D124 B40:D40 F40 B102:D103 B98:D98 B118:D118 B116:D116 B122:D122 F122 F116 F118 F98 F102:F103 F124 F47 B75 D77">
    <cfRule type="expression" dxfId="434" priority="1755">
      <formula>$B40="switchTo"</formula>
    </cfRule>
    <cfRule type="expression" dxfId="433" priority="1756">
      <formula>$B40="wait"</formula>
    </cfRule>
  </conditionalFormatting>
  <conditionalFormatting sqref="B65">
    <cfRule type="expression" dxfId="432" priority="1735">
      <formula>$B65="switchTo"</formula>
    </cfRule>
    <cfRule type="expression" dxfId="431" priority="1736">
      <formula>$B65="wait"</formula>
    </cfRule>
  </conditionalFormatting>
  <conditionalFormatting sqref="B69:C69 F69">
    <cfRule type="expression" dxfId="430" priority="1733">
      <formula>$B69="switchTo"</formula>
    </cfRule>
    <cfRule type="expression" dxfId="429" priority="1734">
      <formula>$B69="wait"</formula>
    </cfRule>
  </conditionalFormatting>
  <conditionalFormatting sqref="D69">
    <cfRule type="expression" dxfId="428" priority="1731">
      <formula>$B69="switchTo"</formula>
    </cfRule>
    <cfRule type="expression" dxfId="427" priority="1732">
      <formula>$B69="wait"</formula>
    </cfRule>
  </conditionalFormatting>
  <conditionalFormatting sqref="D58">
    <cfRule type="expression" dxfId="426" priority="1729">
      <formula>$B58="switchTo"</formula>
    </cfRule>
    <cfRule type="expression" dxfId="425" priority="1730">
      <formula>$B58="wait"</formula>
    </cfRule>
  </conditionalFormatting>
  <conditionalFormatting sqref="D22">
    <cfRule type="expression" dxfId="424" priority="1723">
      <formula>$B22="switchTo"</formula>
    </cfRule>
    <cfRule type="expression" dxfId="423" priority="1724">
      <formula>$B22="wait"</formula>
    </cfRule>
  </conditionalFormatting>
  <conditionalFormatting sqref="B41:D41">
    <cfRule type="expression" dxfId="422" priority="1721">
      <formula>$B41="switchTo"</formula>
    </cfRule>
    <cfRule type="expression" dxfId="421" priority="1722">
      <formula>$B41="wait"</formula>
    </cfRule>
  </conditionalFormatting>
  <conditionalFormatting sqref="F41">
    <cfRule type="expression" dxfId="420" priority="1719">
      <formula>$B41="switchTo"</formula>
    </cfRule>
    <cfRule type="expression" dxfId="419" priority="1720">
      <formula>$B41="wait"</formula>
    </cfRule>
  </conditionalFormatting>
  <conditionalFormatting sqref="B132:E139 D105 B127:D127 B130:D131 B98:D99 F98:F99 D129 B32:D35 D90 B118:D119 D120 B116:D116 F116 B122:D122 F122 B124:D125 D126 D30:D31 D27 F30:F35 E30:E33 F27 F38:F74 E39:E74 B75:F75 B77:F77 B85:F85 B91:D94 B101:D104 E101:F105 B113:F114 B38:D74 B26:F26 E118:F120 B95:F96 F124:F127 B86:D88 E86:F94 B11:D25 F11:F25 F129:F131">
    <cfRule type="expression" dxfId="418" priority="1718">
      <formula>$B11="popup"</formula>
    </cfRule>
    <cfRule type="expression" dxfId="417" priority="1759">
      <formula>$B11="switchTo"</formula>
    </cfRule>
    <cfRule type="expression" dxfId="416" priority="1760">
      <formula>$B11="wait"</formula>
    </cfRule>
  </conditionalFormatting>
  <conditionalFormatting sqref="F107">
    <cfRule type="expression" dxfId="415" priority="1659">
      <formula>$B107="popup"</formula>
    </cfRule>
    <cfRule type="expression" dxfId="414" priority="1660">
      <formula>$B107="switchTo"</formula>
    </cfRule>
    <cfRule type="expression" dxfId="413" priority="1661">
      <formula>$B107="wait"</formula>
    </cfRule>
  </conditionalFormatting>
  <conditionalFormatting sqref="F106">
    <cfRule type="expression" dxfId="412" priority="1656">
      <formula>$B106="popup"</formula>
    </cfRule>
    <cfRule type="expression" dxfId="411" priority="1657">
      <formula>$B106="switchTo"</formula>
    </cfRule>
    <cfRule type="expression" dxfId="410" priority="1658">
      <formula>$B106="wait"</formula>
    </cfRule>
  </conditionalFormatting>
  <conditionalFormatting sqref="B100:C100 F100">
    <cfRule type="expression" dxfId="409" priority="1640">
      <formula>$B100="popup"</formula>
    </cfRule>
    <cfRule type="expression" dxfId="408" priority="1645">
      <formula>$B100="switchTo"</formula>
    </cfRule>
    <cfRule type="expression" dxfId="407" priority="1646">
      <formula>$B100="wait"</formula>
    </cfRule>
  </conditionalFormatting>
  <conditionalFormatting sqref="D100">
    <cfRule type="expression" dxfId="406" priority="1637">
      <formula>$B100="popup"</formula>
    </cfRule>
    <cfRule type="expression" dxfId="405" priority="1638">
      <formula>$B100="switchTo"</formula>
    </cfRule>
    <cfRule type="expression" dxfId="404" priority="1639">
      <formula>$B100="wait"</formula>
    </cfRule>
  </conditionalFormatting>
  <conditionalFormatting sqref="B105:C105">
    <cfRule type="expression" dxfId="403" priority="1634">
      <formula>$B105="popup"</formula>
    </cfRule>
    <cfRule type="expression" dxfId="402" priority="1635">
      <formula>$B105="switchTo"</formula>
    </cfRule>
    <cfRule type="expression" dxfId="401" priority="1636">
      <formula>$B105="wait"</formula>
    </cfRule>
  </conditionalFormatting>
  <conditionalFormatting sqref="B106:D107">
    <cfRule type="expression" dxfId="400" priority="1631">
      <formula>$B106="popup"</formula>
    </cfRule>
    <cfRule type="expression" dxfId="399" priority="1632">
      <formula>$B106="switchTo"</formula>
    </cfRule>
    <cfRule type="expression" dxfId="398" priority="1633">
      <formula>$B106="wait"</formula>
    </cfRule>
  </conditionalFormatting>
  <conditionalFormatting sqref="C97">
    <cfRule type="expression" dxfId="397" priority="1624">
      <formula>$B97="switchTo"</formula>
    </cfRule>
    <cfRule type="expression" dxfId="396" priority="1625">
      <formula>$B97="wait"</formula>
    </cfRule>
  </conditionalFormatting>
  <conditionalFormatting sqref="B97 F97">
    <cfRule type="expression" dxfId="395" priority="1628">
      <formula>$B97="popup"</formula>
    </cfRule>
    <cfRule type="expression" dxfId="394" priority="1629">
      <formula>$B97="switchTo"</formula>
    </cfRule>
    <cfRule type="expression" dxfId="393" priority="1630">
      <formula>$B97="wait"</formula>
    </cfRule>
  </conditionalFormatting>
  <conditionalFormatting sqref="C97">
    <cfRule type="expression" dxfId="392" priority="1623">
      <formula>$B97="popup"</formula>
    </cfRule>
    <cfRule type="expression" dxfId="391" priority="1626">
      <formula>$B97="switchTo"</formula>
    </cfRule>
    <cfRule type="expression" dxfId="390" priority="1627">
      <formula>$B97="wait"</formula>
    </cfRule>
  </conditionalFormatting>
  <conditionalFormatting sqref="D97">
    <cfRule type="expression" dxfId="389" priority="1619">
      <formula>$B97="switchTo"</formula>
    </cfRule>
    <cfRule type="expression" dxfId="388" priority="1620">
      <formula>$B97="wait"</formula>
    </cfRule>
  </conditionalFormatting>
  <conditionalFormatting sqref="D97">
    <cfRule type="expression" dxfId="387" priority="1618">
      <formula>$B97="popup"</formula>
    </cfRule>
    <cfRule type="expression" dxfId="386" priority="1621">
      <formula>$B97="switchTo"</formula>
    </cfRule>
    <cfRule type="expression" dxfId="385" priority="1622">
      <formula>$B97="wait"</formula>
    </cfRule>
  </conditionalFormatting>
  <conditionalFormatting sqref="B89 D89">
    <cfRule type="expression" dxfId="384" priority="1422">
      <formula>$B89="popup"</formula>
    </cfRule>
    <cfRule type="expression" dxfId="383" priority="1423">
      <formula>$B89="switchTo"</formula>
    </cfRule>
    <cfRule type="expression" dxfId="382" priority="1424">
      <formula>$B89="wait"</formula>
    </cfRule>
  </conditionalFormatting>
  <conditionalFormatting sqref="C89">
    <cfRule type="expression" dxfId="381" priority="1413">
      <formula>$B89="popup"</formula>
    </cfRule>
    <cfRule type="expression" dxfId="380" priority="1414">
      <formula>$B89="switchTo"</formula>
    </cfRule>
    <cfRule type="expression" dxfId="379" priority="1415">
      <formula>$B89="wait"</formula>
    </cfRule>
  </conditionalFormatting>
  <conditionalFormatting sqref="B129">
    <cfRule type="expression" dxfId="378" priority="1380">
      <formula>$B129="popup"</formula>
    </cfRule>
    <cfRule type="expression" dxfId="377" priority="1381">
      <formula>$B129="switchTo"</formula>
    </cfRule>
    <cfRule type="expression" dxfId="376" priority="1382">
      <formula>$B129="wait"</formula>
    </cfRule>
  </conditionalFormatting>
  <conditionalFormatting sqref="C129">
    <cfRule type="expression" dxfId="375" priority="1377">
      <formula>$B129="popup"</formula>
    </cfRule>
    <cfRule type="expression" dxfId="374" priority="1378">
      <formula>$B129="switchTo"</formula>
    </cfRule>
    <cfRule type="expression" dxfId="373" priority="1379">
      <formula>$B129="wait"</formula>
    </cfRule>
  </conditionalFormatting>
  <conditionalFormatting sqref="B132:E226 B32:D35 D90 D117 D120 B118:D119 B124:D125 D126 D30:D31 D27 B38:D74 F38:F74 F30:F35 E30:E33 F27 B75:F75 B77:F77 B85:F85 B91:D94 B113:D116 B26:F26 B121:D122 E113:F122 B95:F107 B127:D127 F124:F127 B86:D89 E86:F94 B11:D25 F11:F25 F129:F131 B129:D131">
    <cfRule type="expression" dxfId="372" priority="1359">
      <formula>$B11="label"</formula>
    </cfRule>
  </conditionalFormatting>
  <conditionalFormatting sqref="F35">
    <cfRule type="expression" dxfId="371" priority="1313">
      <formula>$B35="switchTo"</formula>
    </cfRule>
    <cfRule type="expression" dxfId="370" priority="1314">
      <formula>$B35="wait"</formula>
    </cfRule>
  </conditionalFormatting>
  <conditionalFormatting sqref="B36:C36 F36">
    <cfRule type="expression" dxfId="369" priority="1297">
      <formula>$B36="switchTo"</formula>
    </cfRule>
    <cfRule type="expression" dxfId="368" priority="1298">
      <formula>$B36="wait"</formula>
    </cfRule>
  </conditionalFormatting>
  <conditionalFormatting sqref="B36:C36 F36">
    <cfRule type="expression" dxfId="367" priority="1296">
      <formula>$B36="popup"</formula>
    </cfRule>
    <cfRule type="expression" dxfId="366" priority="1299">
      <formula>$B36="switchTo"</formula>
    </cfRule>
    <cfRule type="expression" dxfId="365" priority="1300">
      <formula>$B36="wait"</formula>
    </cfRule>
  </conditionalFormatting>
  <conditionalFormatting sqref="B36:C36 F36">
    <cfRule type="expression" dxfId="364" priority="1295">
      <formula>$B36="label"</formula>
    </cfRule>
  </conditionalFormatting>
  <conditionalFormatting sqref="D36">
    <cfRule type="expression" dxfId="363" priority="1292">
      <formula>$B36="popup"</formula>
    </cfRule>
    <cfRule type="expression" dxfId="362" priority="1293">
      <formula>$B36="switchTo"</formula>
    </cfRule>
    <cfRule type="expression" dxfId="361" priority="1294">
      <formula>$B36="wait"</formula>
    </cfRule>
  </conditionalFormatting>
  <conditionalFormatting sqref="D36">
    <cfRule type="expression" dxfId="360" priority="1291">
      <formula>$B36="label"</formula>
    </cfRule>
  </conditionalFormatting>
  <conditionalFormatting sqref="C90">
    <cfRule type="expression" dxfId="359" priority="1264">
      <formula>$B90="popup"</formula>
    </cfRule>
    <cfRule type="expression" dxfId="358" priority="1265">
      <formula>$B90="switchTo"</formula>
    </cfRule>
    <cfRule type="expression" dxfId="357" priority="1266">
      <formula>$B90="wait"</formula>
    </cfRule>
  </conditionalFormatting>
  <conditionalFormatting sqref="C90">
    <cfRule type="expression" dxfId="356" priority="1263">
      <formula>$B90="label"</formula>
    </cfRule>
  </conditionalFormatting>
  <conditionalFormatting sqref="B90">
    <cfRule type="expression" dxfId="355" priority="1260">
      <formula>$B90="popup"</formula>
    </cfRule>
    <cfRule type="expression" dxfId="354" priority="1261">
      <formula>$B90="switchTo"</formula>
    </cfRule>
    <cfRule type="expression" dxfId="353" priority="1262">
      <formula>$B90="wait"</formula>
    </cfRule>
  </conditionalFormatting>
  <conditionalFormatting sqref="B90">
    <cfRule type="expression" dxfId="352" priority="1259">
      <formula>$B90="label"</formula>
    </cfRule>
  </conditionalFormatting>
  <conditionalFormatting sqref="D117">
    <cfRule type="expression" dxfId="351" priority="1230">
      <formula>$B117="popup"</formula>
    </cfRule>
    <cfRule type="expression" dxfId="350" priority="1231">
      <formula>$B117="switchTo"</formula>
    </cfRule>
    <cfRule type="expression" dxfId="349" priority="1232">
      <formula>$B117="wait"</formula>
    </cfRule>
  </conditionalFormatting>
  <conditionalFormatting sqref="F117">
    <cfRule type="expression" dxfId="348" priority="1233">
      <formula>$B117="popup"</formula>
    </cfRule>
    <cfRule type="expression" dxfId="347" priority="1234">
      <formula>$B117="switchTo"</formula>
    </cfRule>
    <cfRule type="expression" dxfId="346" priority="1235">
      <formula>$B117="wait"</formula>
    </cfRule>
  </conditionalFormatting>
  <conditionalFormatting sqref="B117">
    <cfRule type="expression" dxfId="345" priority="1226">
      <formula>$B117="popup"</formula>
    </cfRule>
    <cfRule type="expression" dxfId="344" priority="1227">
      <formula>$B117="switchTo"</formula>
    </cfRule>
    <cfRule type="expression" dxfId="343" priority="1228">
      <formula>$B117="wait"</formula>
    </cfRule>
  </conditionalFormatting>
  <conditionalFormatting sqref="B117">
    <cfRule type="expression" dxfId="342" priority="1225">
      <formula>$B117="label"</formula>
    </cfRule>
  </conditionalFormatting>
  <conditionalFormatting sqref="D123">
    <cfRule type="expression" dxfId="341" priority="1157">
      <formula>$B123="popup"</formula>
    </cfRule>
    <cfRule type="expression" dxfId="340" priority="1158">
      <formula>$B123="switchTo"</formula>
    </cfRule>
    <cfRule type="expression" dxfId="339" priority="1159">
      <formula>$B123="wait"</formula>
    </cfRule>
  </conditionalFormatting>
  <conditionalFormatting sqref="D123">
    <cfRule type="expression" dxfId="338" priority="1156">
      <formula>$B123="label"</formula>
    </cfRule>
  </conditionalFormatting>
  <conditionalFormatting sqref="C115">
    <cfRule type="expression" dxfId="337" priority="1194">
      <formula>$B115="switchTo"</formula>
    </cfRule>
    <cfRule type="expression" dxfId="336" priority="1195">
      <formula>$B115="wait"</formula>
    </cfRule>
  </conditionalFormatting>
  <conditionalFormatting sqref="B115 F115">
    <cfRule type="expression" dxfId="335" priority="1198">
      <formula>$B115="popup"</formula>
    </cfRule>
    <cfRule type="expression" dxfId="334" priority="1199">
      <formula>$B115="switchTo"</formula>
    </cfRule>
    <cfRule type="expression" dxfId="333" priority="1200">
      <formula>$B115="wait"</formula>
    </cfRule>
  </conditionalFormatting>
  <conditionalFormatting sqref="C115">
    <cfRule type="expression" dxfId="332" priority="1193">
      <formula>$B115="popup"</formula>
    </cfRule>
    <cfRule type="expression" dxfId="331" priority="1196">
      <formula>$B115="switchTo"</formula>
    </cfRule>
    <cfRule type="expression" dxfId="330" priority="1197">
      <formula>$B115="wait"</formula>
    </cfRule>
  </conditionalFormatting>
  <conditionalFormatting sqref="D115">
    <cfRule type="expression" dxfId="329" priority="1189">
      <formula>$B115="switchTo"</formula>
    </cfRule>
    <cfRule type="expression" dxfId="328" priority="1190">
      <formula>$B115="wait"</formula>
    </cfRule>
  </conditionalFormatting>
  <conditionalFormatting sqref="D115">
    <cfRule type="expression" dxfId="327" priority="1188">
      <formula>$B115="popup"</formula>
    </cfRule>
    <cfRule type="expression" dxfId="326" priority="1191">
      <formula>$B115="switchTo"</formula>
    </cfRule>
    <cfRule type="expression" dxfId="325" priority="1192">
      <formula>$B115="wait"</formula>
    </cfRule>
  </conditionalFormatting>
  <conditionalFormatting sqref="C121">
    <cfRule type="expression" dxfId="324" priority="1175">
      <formula>$B121="switchTo"</formula>
    </cfRule>
    <cfRule type="expression" dxfId="323" priority="1176">
      <formula>$B121="wait"</formula>
    </cfRule>
  </conditionalFormatting>
  <conditionalFormatting sqref="B121 F121">
    <cfRule type="expression" dxfId="322" priority="1179">
      <formula>$B121="popup"</formula>
    </cfRule>
    <cfRule type="expression" dxfId="321" priority="1180">
      <formula>$B121="switchTo"</formula>
    </cfRule>
    <cfRule type="expression" dxfId="320" priority="1181">
      <formula>$B121="wait"</formula>
    </cfRule>
  </conditionalFormatting>
  <conditionalFormatting sqref="C121">
    <cfRule type="expression" dxfId="319" priority="1174">
      <formula>$B121="popup"</formula>
    </cfRule>
    <cfRule type="expression" dxfId="318" priority="1177">
      <formula>$B121="switchTo"</formula>
    </cfRule>
    <cfRule type="expression" dxfId="317" priority="1178">
      <formula>$B121="wait"</formula>
    </cfRule>
  </conditionalFormatting>
  <conditionalFormatting sqref="D121">
    <cfRule type="expression" dxfId="316" priority="1170">
      <formula>$B121="switchTo"</formula>
    </cfRule>
    <cfRule type="expression" dxfId="315" priority="1171">
      <formula>$B121="wait"</formula>
    </cfRule>
  </conditionalFormatting>
  <conditionalFormatting sqref="D121">
    <cfRule type="expression" dxfId="314" priority="1169">
      <formula>$B121="popup"</formula>
    </cfRule>
    <cfRule type="expression" dxfId="313" priority="1172">
      <formula>$B121="switchTo"</formula>
    </cfRule>
    <cfRule type="expression" dxfId="312" priority="1173">
      <formula>$B121="wait"</formula>
    </cfRule>
  </conditionalFormatting>
  <conditionalFormatting sqref="B123">
    <cfRule type="expression" dxfId="311" priority="1153">
      <formula>$B123="popup"</formula>
    </cfRule>
    <cfRule type="expression" dxfId="310" priority="1154">
      <formula>$B123="switchTo"</formula>
    </cfRule>
    <cfRule type="expression" dxfId="309" priority="1155">
      <formula>$B123="wait"</formula>
    </cfRule>
  </conditionalFormatting>
  <conditionalFormatting sqref="B123">
    <cfRule type="expression" dxfId="308" priority="1152">
      <formula>$B123="label"</formula>
    </cfRule>
  </conditionalFormatting>
  <conditionalFormatting sqref="B56">
    <cfRule type="expression" dxfId="307" priority="1078">
      <formula>$B56="switchTo"</formula>
    </cfRule>
    <cfRule type="expression" dxfId="306" priority="1079">
      <formula>$B56="wait"</formula>
    </cfRule>
  </conditionalFormatting>
  <conditionalFormatting sqref="B126:C126">
    <cfRule type="expression" dxfId="305" priority="1057">
      <formula>$B126="popup"</formula>
    </cfRule>
    <cfRule type="expression" dxfId="304" priority="1058">
      <formula>$B126="switchTo"</formula>
    </cfRule>
    <cfRule type="expression" dxfId="303" priority="1059">
      <formula>$B126="wait"</formula>
    </cfRule>
  </conditionalFormatting>
  <conditionalFormatting sqref="B126:C126">
    <cfRule type="expression" dxfId="302" priority="1056">
      <formula>$B126="label"</formula>
    </cfRule>
  </conditionalFormatting>
  <conditionalFormatting sqref="B120">
    <cfRule type="expression" dxfId="301" priority="1020">
      <formula>$B120="popup"</formula>
    </cfRule>
    <cfRule type="expression" dxfId="300" priority="1021">
      <formula>$B120="switchTo"</formula>
    </cfRule>
    <cfRule type="expression" dxfId="299" priority="1022">
      <formula>$B120="wait"</formula>
    </cfRule>
  </conditionalFormatting>
  <conditionalFormatting sqref="C117">
    <cfRule type="expression" dxfId="298" priority="985">
      <formula>$B117="label"</formula>
    </cfRule>
  </conditionalFormatting>
  <conditionalFormatting sqref="B120:C120">
    <cfRule type="expression" dxfId="297" priority="1023">
      <formula>$B120="popup"</formula>
    </cfRule>
    <cfRule type="expression" dxfId="296" priority="1024">
      <formula>$B120="switchTo"</formula>
    </cfRule>
    <cfRule type="expression" dxfId="295" priority="1025">
      <formula>$B120="wait"</formula>
    </cfRule>
  </conditionalFormatting>
  <conditionalFormatting sqref="B68">
    <cfRule type="expression" dxfId="294" priority="1076">
      <formula>$B68="switchTo"</formula>
    </cfRule>
    <cfRule type="expression" dxfId="293" priority="1077">
      <formula>$B68="wait"</formula>
    </cfRule>
  </conditionalFormatting>
  <conditionalFormatting sqref="B126:C126">
    <cfRule type="expression" dxfId="292" priority="1053">
      <formula>$B126="popup"</formula>
    </cfRule>
    <cfRule type="expression" dxfId="291" priority="1054">
      <formula>$B126="switchTo"</formula>
    </cfRule>
    <cfRule type="expression" dxfId="290" priority="1055">
      <formula>$B126="wait"</formula>
    </cfRule>
  </conditionalFormatting>
  <conditionalFormatting sqref="B126">
    <cfRule type="expression" dxfId="289" priority="1050">
      <formula>$B126="popup"</formula>
    </cfRule>
    <cfRule type="expression" dxfId="288" priority="1051">
      <formula>$B126="switchTo"</formula>
    </cfRule>
    <cfRule type="expression" dxfId="287" priority="1052">
      <formula>$B126="wait"</formula>
    </cfRule>
  </conditionalFormatting>
  <conditionalFormatting sqref="B126:C126">
    <cfRule type="expression" dxfId="286" priority="1047">
      <formula>$B126="popup"</formula>
    </cfRule>
    <cfRule type="expression" dxfId="285" priority="1048">
      <formula>$B126="switchTo"</formula>
    </cfRule>
    <cfRule type="expression" dxfId="284" priority="1049">
      <formula>$B126="wait"</formula>
    </cfRule>
  </conditionalFormatting>
  <conditionalFormatting sqref="B126">
    <cfRule type="expression" dxfId="283" priority="1045">
      <formula>$B126="switchTo"</formula>
    </cfRule>
    <cfRule type="expression" dxfId="282" priority="1046">
      <formula>$B126="wait"</formula>
    </cfRule>
  </conditionalFormatting>
  <conditionalFormatting sqref="B120:C120">
    <cfRule type="expression" dxfId="281" priority="1027">
      <formula>$B120="popup"</formula>
    </cfRule>
    <cfRule type="expression" dxfId="280" priority="1028">
      <formula>$B120="switchTo"</formula>
    </cfRule>
    <cfRule type="expression" dxfId="279" priority="1029">
      <formula>$B120="wait"</formula>
    </cfRule>
  </conditionalFormatting>
  <conditionalFormatting sqref="B120:C120">
    <cfRule type="expression" dxfId="278" priority="1026">
      <formula>$B120="label"</formula>
    </cfRule>
  </conditionalFormatting>
  <conditionalFormatting sqref="C117">
    <cfRule type="expression" dxfId="277" priority="986">
      <formula>$B117="popup"</formula>
    </cfRule>
    <cfRule type="expression" dxfId="276" priority="987">
      <formula>$B117="switchTo"</formula>
    </cfRule>
    <cfRule type="expression" dxfId="275" priority="988">
      <formula>$B117="wait"</formula>
    </cfRule>
  </conditionalFormatting>
  <conditionalFormatting sqref="B120:C120">
    <cfRule type="expression" dxfId="274" priority="1017">
      <formula>$B120="popup"</formula>
    </cfRule>
    <cfRule type="expression" dxfId="273" priority="1018">
      <formula>$B120="switchTo"</formula>
    </cfRule>
    <cfRule type="expression" dxfId="272" priority="1019">
      <formula>$B120="wait"</formula>
    </cfRule>
  </conditionalFormatting>
  <conditionalFormatting sqref="B120">
    <cfRule type="expression" dxfId="271" priority="1015">
      <formula>$B120="switchTo"</formula>
    </cfRule>
    <cfRule type="expression" dxfId="270" priority="1016">
      <formula>$B120="wait"</formula>
    </cfRule>
  </conditionalFormatting>
  <conditionalFormatting sqref="C123">
    <cfRule type="expression" dxfId="269" priority="981">
      <formula>$B123="label"</formula>
    </cfRule>
  </conditionalFormatting>
  <conditionalFormatting sqref="C123">
    <cfRule type="expression" dxfId="268" priority="982">
      <formula>$B123="popup"</formula>
    </cfRule>
    <cfRule type="expression" dxfId="267" priority="983">
      <formula>$B123="switchTo"</formula>
    </cfRule>
    <cfRule type="expression" dxfId="266" priority="984">
      <formula>$B123="wait"</formula>
    </cfRule>
  </conditionalFormatting>
  <conditionalFormatting sqref="B28 F28">
    <cfRule type="expression" dxfId="265" priority="973">
      <formula>$B28="label"</formula>
    </cfRule>
  </conditionalFormatting>
  <conditionalFormatting sqref="B28 F28">
    <cfRule type="expression" dxfId="264" priority="974">
      <formula>$B28="popup"</formula>
    </cfRule>
    <cfRule type="expression" dxfId="263" priority="975">
      <formula>$B28="switchTo"</formula>
    </cfRule>
    <cfRule type="expression" dxfId="262" priority="976">
      <formula>$B28="wait"</formula>
    </cfRule>
  </conditionalFormatting>
  <conditionalFormatting sqref="F123">
    <cfRule type="expression" dxfId="261" priority="977">
      <formula>$B123="label"</formula>
    </cfRule>
  </conditionalFormatting>
  <conditionalFormatting sqref="F123">
    <cfRule type="expression" dxfId="260" priority="978">
      <formula>$B123="popup"</formula>
    </cfRule>
    <cfRule type="expression" dxfId="259" priority="979">
      <formula>$B123="switchTo"</formula>
    </cfRule>
    <cfRule type="expression" dxfId="258" priority="980">
      <formula>$B123="wait"</formula>
    </cfRule>
  </conditionalFormatting>
  <conditionalFormatting sqref="D28">
    <cfRule type="expression" dxfId="257" priority="966">
      <formula>$B28="popup"</formula>
    </cfRule>
    <cfRule type="expression" dxfId="256" priority="967">
      <formula>$B28="switchTo"</formula>
    </cfRule>
    <cfRule type="expression" dxfId="255" priority="968">
      <formula>$B28="wait"</formula>
    </cfRule>
  </conditionalFormatting>
  <conditionalFormatting sqref="D28">
    <cfRule type="expression" dxfId="254" priority="965">
      <formula>$B28="label"</formula>
    </cfRule>
  </conditionalFormatting>
  <conditionalFormatting sqref="C28">
    <cfRule type="expression" dxfId="253" priority="958">
      <formula>$B28="popup"</formula>
    </cfRule>
    <cfRule type="expression" dxfId="252" priority="959">
      <formula>$B28="switchTo"</formula>
    </cfRule>
    <cfRule type="expression" dxfId="251" priority="960">
      <formula>$B28="wait"</formula>
    </cfRule>
  </conditionalFormatting>
  <conditionalFormatting sqref="C28">
    <cfRule type="expression" dxfId="250" priority="957">
      <formula>$B28="label"</formula>
    </cfRule>
  </conditionalFormatting>
  <conditionalFormatting sqref="B31:C31">
    <cfRule type="expression" dxfId="249" priority="962">
      <formula>$B31="popup"</formula>
    </cfRule>
    <cfRule type="expression" dxfId="248" priority="963">
      <formula>$B31="switchTo"</formula>
    </cfRule>
    <cfRule type="expression" dxfId="247" priority="964">
      <formula>$B31="wait"</formula>
    </cfRule>
  </conditionalFormatting>
  <conditionalFormatting sqref="B31:C31">
    <cfRule type="expression" dxfId="246" priority="961">
      <formula>$B31="label"</formula>
    </cfRule>
  </conditionalFormatting>
  <conditionalFormatting sqref="B27:C27">
    <cfRule type="expression" dxfId="245" priority="950">
      <formula>$B27="popup"</formula>
    </cfRule>
    <cfRule type="expression" dxfId="244" priority="951">
      <formula>$B27="switchTo"</formula>
    </cfRule>
    <cfRule type="expression" dxfId="243" priority="952">
      <formula>$B27="wait"</formula>
    </cfRule>
  </conditionalFormatting>
  <conditionalFormatting sqref="B27:C27">
    <cfRule type="expression" dxfId="242" priority="949">
      <formula>$B27="label"</formula>
    </cfRule>
  </conditionalFormatting>
  <conditionalFormatting sqref="B30">
    <cfRule type="expression" dxfId="241" priority="942">
      <formula>$B30="popup"</formula>
    </cfRule>
    <cfRule type="expression" dxfId="240" priority="943">
      <formula>$B30="switchTo"</formula>
    </cfRule>
    <cfRule type="expression" dxfId="239" priority="944">
      <formula>$B30="wait"</formula>
    </cfRule>
  </conditionalFormatting>
  <conditionalFormatting sqref="B30">
    <cfRule type="expression" dxfId="238" priority="941">
      <formula>$B30="label"</formula>
    </cfRule>
  </conditionalFormatting>
  <conditionalFormatting sqref="C30">
    <cfRule type="expression" dxfId="237" priority="938">
      <formula>$B30="popup"</formula>
    </cfRule>
    <cfRule type="expression" dxfId="236" priority="939">
      <formula>$B30="switchTo"</formula>
    </cfRule>
    <cfRule type="expression" dxfId="235" priority="940">
      <formula>$B30="wait"</formula>
    </cfRule>
  </conditionalFormatting>
  <conditionalFormatting sqref="C30">
    <cfRule type="expression" dxfId="234" priority="937">
      <formula>$B30="label"</formula>
    </cfRule>
  </conditionalFormatting>
  <conditionalFormatting sqref="E70 E40 E122 E116 E118 E98 E102:E103 E124 E47">
    <cfRule type="expression" dxfId="233" priority="933">
      <formula>$B40="switchTo"</formula>
    </cfRule>
    <cfRule type="expression" dxfId="232" priority="934">
      <formula>$B40="wait"</formula>
    </cfRule>
  </conditionalFormatting>
  <conditionalFormatting sqref="E69">
    <cfRule type="expression" dxfId="231" priority="931">
      <formula>$B69="switchTo"</formula>
    </cfRule>
    <cfRule type="expression" dxfId="230" priority="932">
      <formula>$B69="wait"</formula>
    </cfRule>
  </conditionalFormatting>
  <conditionalFormatting sqref="E41">
    <cfRule type="expression" dxfId="229" priority="929">
      <formula>$B41="switchTo"</formula>
    </cfRule>
    <cfRule type="expression" dxfId="228" priority="930">
      <formula>$B41="wait"</formula>
    </cfRule>
  </conditionalFormatting>
  <conditionalFormatting sqref="E98:E99 E116 E122 E35 E27 E124:E127 E11:E24 E129:E131">
    <cfRule type="expression" dxfId="227" priority="928">
      <formula>$B11="popup"</formula>
    </cfRule>
    <cfRule type="expression" dxfId="226" priority="935">
      <formula>$B11="switchTo"</formula>
    </cfRule>
    <cfRule type="expression" dxfId="225" priority="936">
      <formula>$B11="wait"</formula>
    </cfRule>
  </conditionalFormatting>
  <conditionalFormatting sqref="E107">
    <cfRule type="expression" dxfId="224" priority="922">
      <formula>$B107="popup"</formula>
    </cfRule>
    <cfRule type="expression" dxfId="223" priority="923">
      <formula>$B107="switchTo"</formula>
    </cfRule>
    <cfRule type="expression" dxfId="222" priority="924">
      <formula>$B107="wait"</formula>
    </cfRule>
  </conditionalFormatting>
  <conditionalFormatting sqref="E106">
    <cfRule type="expression" dxfId="221" priority="919">
      <formula>$B106="popup"</formula>
    </cfRule>
    <cfRule type="expression" dxfId="220" priority="920">
      <formula>$B106="switchTo"</formula>
    </cfRule>
    <cfRule type="expression" dxfId="219" priority="921">
      <formula>$B106="wait"</formula>
    </cfRule>
  </conditionalFormatting>
  <conditionalFormatting sqref="E100">
    <cfRule type="expression" dxfId="218" priority="913">
      <formula>$B100="popup"</formula>
    </cfRule>
    <cfRule type="expression" dxfId="217" priority="914">
      <formula>$B100="switchTo"</formula>
    </cfRule>
    <cfRule type="expression" dxfId="216" priority="915">
      <formula>$B100="wait"</formula>
    </cfRule>
  </conditionalFormatting>
  <conditionalFormatting sqref="E97">
    <cfRule type="expression" dxfId="215" priority="910">
      <formula>$B97="popup"</formula>
    </cfRule>
    <cfRule type="expression" dxfId="214" priority="911">
      <formula>$B97="switchTo"</formula>
    </cfRule>
    <cfRule type="expression" dxfId="213" priority="912">
      <formula>$B97="wait"</formula>
    </cfRule>
  </conditionalFormatting>
  <conditionalFormatting sqref="E35 E39:E74 E27 E124:E127 E11:E24 E129:E131">
    <cfRule type="expression" dxfId="212" priority="906">
      <formula>$B11="label"</formula>
    </cfRule>
  </conditionalFormatting>
  <conditionalFormatting sqref="E35">
    <cfRule type="expression" dxfId="211" priority="901">
      <formula>$B35="switchTo"</formula>
    </cfRule>
    <cfRule type="expression" dxfId="210" priority="902">
      <formula>$B35="wait"</formula>
    </cfRule>
  </conditionalFormatting>
  <conditionalFormatting sqref="E36">
    <cfRule type="expression" dxfId="209" priority="897">
      <formula>$B36="switchTo"</formula>
    </cfRule>
    <cfRule type="expression" dxfId="208" priority="898">
      <formula>$B36="wait"</formula>
    </cfRule>
  </conditionalFormatting>
  <conditionalFormatting sqref="E36">
    <cfRule type="expression" dxfId="207" priority="896">
      <formula>$B36="popup"</formula>
    </cfRule>
    <cfRule type="expression" dxfId="206" priority="899">
      <formula>$B36="switchTo"</formula>
    </cfRule>
    <cfRule type="expression" dxfId="205" priority="900">
      <formula>$B36="wait"</formula>
    </cfRule>
  </conditionalFormatting>
  <conditionalFormatting sqref="E36">
    <cfRule type="expression" dxfId="204" priority="895">
      <formula>$B36="label"</formula>
    </cfRule>
  </conditionalFormatting>
  <conditionalFormatting sqref="E117">
    <cfRule type="expression" dxfId="203" priority="892">
      <formula>$B117="popup"</formula>
    </cfRule>
    <cfRule type="expression" dxfId="202" priority="893">
      <formula>$B117="switchTo"</formula>
    </cfRule>
    <cfRule type="expression" dxfId="201" priority="894">
      <formula>$B117="wait"</formula>
    </cfRule>
  </conditionalFormatting>
  <conditionalFormatting sqref="E115">
    <cfRule type="expression" dxfId="200" priority="889">
      <formula>$B115="popup"</formula>
    </cfRule>
    <cfRule type="expression" dxfId="199" priority="890">
      <formula>$B115="switchTo"</formula>
    </cfRule>
    <cfRule type="expression" dxfId="198" priority="891">
      <formula>$B115="wait"</formula>
    </cfRule>
  </conditionalFormatting>
  <conditionalFormatting sqref="E121">
    <cfRule type="expression" dxfId="197" priority="886">
      <formula>$B121="popup"</formula>
    </cfRule>
    <cfRule type="expression" dxfId="196" priority="887">
      <formula>$B121="switchTo"</formula>
    </cfRule>
    <cfRule type="expression" dxfId="195" priority="888">
      <formula>$B121="wait"</formula>
    </cfRule>
  </conditionalFormatting>
  <conditionalFormatting sqref="E28">
    <cfRule type="expression" dxfId="194" priority="872">
      <formula>$B28="label"</formula>
    </cfRule>
  </conditionalFormatting>
  <conditionalFormatting sqref="E28">
    <cfRule type="expression" dxfId="193" priority="873">
      <formula>$B28="popup"</formula>
    </cfRule>
    <cfRule type="expression" dxfId="192" priority="874">
      <formula>$B28="switchTo"</formula>
    </cfRule>
    <cfRule type="expression" dxfId="191" priority="875">
      <formula>$B28="wait"</formula>
    </cfRule>
  </conditionalFormatting>
  <conditionalFormatting sqref="E123">
    <cfRule type="expression" dxfId="190" priority="876">
      <formula>$B123="label"</formula>
    </cfRule>
  </conditionalFormatting>
  <conditionalFormatting sqref="E123">
    <cfRule type="expression" dxfId="189" priority="877">
      <formula>$B123="popup"</formula>
    </cfRule>
    <cfRule type="expression" dxfId="188" priority="878">
      <formula>$B123="switchTo"</formula>
    </cfRule>
    <cfRule type="expression" dxfId="187" priority="879">
      <formula>$B123="wait"</formula>
    </cfRule>
  </conditionalFormatting>
  <conditionalFormatting sqref="E38">
    <cfRule type="expression" dxfId="186" priority="859">
      <formula>$B38="label"</formula>
    </cfRule>
  </conditionalFormatting>
  <conditionalFormatting sqref="D60">
    <cfRule type="expression" dxfId="185" priority="856">
      <formula>$B60="switchTo"</formula>
    </cfRule>
    <cfRule type="expression" dxfId="184" priority="857">
      <formula>$B60="wait"</formula>
    </cfRule>
  </conditionalFormatting>
  <conditionalFormatting sqref="B29:D29 F29">
    <cfRule type="expression" dxfId="183" priority="803">
      <formula>$B29="popup"</formula>
    </cfRule>
    <cfRule type="expression" dxfId="182" priority="804">
      <formula>$B29="switchTo"</formula>
    </cfRule>
    <cfRule type="expression" dxfId="181" priority="805">
      <formula>$B29="wait"</formula>
    </cfRule>
  </conditionalFormatting>
  <conditionalFormatting sqref="B29:D29 F29">
    <cfRule type="expression" dxfId="180" priority="802">
      <formula>$B29="label"</formula>
    </cfRule>
  </conditionalFormatting>
  <conditionalFormatting sqref="E29">
    <cfRule type="expression" dxfId="179" priority="799">
      <formula>$B29="popup"</formula>
    </cfRule>
    <cfRule type="expression" dxfId="178" priority="800">
      <formula>$B29="switchTo"</formula>
    </cfRule>
    <cfRule type="expression" dxfId="177" priority="801">
      <formula>$B29="wait"</formula>
    </cfRule>
  </conditionalFormatting>
  <conditionalFormatting sqref="E29">
    <cfRule type="expression" dxfId="176" priority="798">
      <formula>$B29="label"</formula>
    </cfRule>
  </conditionalFormatting>
  <conditionalFormatting sqref="E34">
    <cfRule type="expression" dxfId="175" priority="787">
      <formula>$B34="popup"</formula>
    </cfRule>
    <cfRule type="expression" dxfId="174" priority="788">
      <formula>$B34="switchTo"</formula>
    </cfRule>
    <cfRule type="expression" dxfId="173" priority="789">
      <formula>$B34="wait"</formula>
    </cfRule>
  </conditionalFormatting>
  <conditionalFormatting sqref="E34">
    <cfRule type="expression" dxfId="172" priority="786">
      <formula>$B34="label"</formula>
    </cfRule>
  </conditionalFormatting>
  <conditionalFormatting sqref="E34">
    <cfRule type="expression" dxfId="171" priority="784">
      <formula>$B34="switchTo"</formula>
    </cfRule>
    <cfRule type="expression" dxfId="170" priority="785">
      <formula>$B34="wait"</formula>
    </cfRule>
  </conditionalFormatting>
  <conditionalFormatting sqref="B76:D76 F76">
    <cfRule type="expression" dxfId="169" priority="723">
      <formula>$B76="popup"</formula>
    </cfRule>
    <cfRule type="expression" dxfId="168" priority="724">
      <formula>$B76="switchTo"</formula>
    </cfRule>
    <cfRule type="expression" dxfId="167" priority="725">
      <formula>$B76="wait"</formula>
    </cfRule>
  </conditionalFormatting>
  <conditionalFormatting sqref="F76 B76:D76">
    <cfRule type="expression" dxfId="166" priority="722">
      <formula>$B76="label"</formula>
    </cfRule>
  </conditionalFormatting>
  <conditionalFormatting sqref="E76">
    <cfRule type="expression" dxfId="165" priority="719">
      <formula>$B76="popup"</formula>
    </cfRule>
    <cfRule type="expression" dxfId="164" priority="720">
      <formula>$B76="switchTo"</formula>
    </cfRule>
    <cfRule type="expression" dxfId="163" priority="721">
      <formula>$B76="wait"</formula>
    </cfRule>
  </conditionalFormatting>
  <conditionalFormatting sqref="E76">
    <cfRule type="expression" dxfId="162" priority="718">
      <formula>$B76="label"</formula>
    </cfRule>
  </conditionalFormatting>
  <conditionalFormatting sqref="D79 F79">
    <cfRule type="expression" dxfId="161" priority="717">
      <formula>$B79="label"</formula>
    </cfRule>
  </conditionalFormatting>
  <conditionalFormatting sqref="B79 D79">
    <cfRule type="expression" dxfId="160" priority="714">
      <formula>$B79="popup"</formula>
    </cfRule>
    <cfRule type="expression" dxfId="159" priority="715">
      <formula>$B79="switchTo"</formula>
    </cfRule>
    <cfRule type="expression" dxfId="158" priority="716">
      <formula>$B79="wait"</formula>
    </cfRule>
  </conditionalFormatting>
  <conditionalFormatting sqref="F79">
    <cfRule type="expression" dxfId="157" priority="711">
      <formula>$B79="popup"</formula>
    </cfRule>
    <cfRule type="expression" dxfId="156" priority="712">
      <formula>$B79="switchTo"</formula>
    </cfRule>
    <cfRule type="expression" dxfId="155" priority="713">
      <formula>$B79="wait"</formula>
    </cfRule>
  </conditionalFormatting>
  <conditionalFormatting sqref="B79">
    <cfRule type="expression" dxfId="154" priority="710">
      <formula>$B79="label"</formula>
    </cfRule>
  </conditionalFormatting>
  <conditionalFormatting sqref="C79">
    <cfRule type="expression" dxfId="153" priority="707">
      <formula>$B79="popup"</formula>
    </cfRule>
    <cfRule type="expression" dxfId="152" priority="708">
      <formula>$B79="switchTo"</formula>
    </cfRule>
    <cfRule type="expression" dxfId="151" priority="709">
      <formula>$B79="wait"</formula>
    </cfRule>
  </conditionalFormatting>
  <conditionalFormatting sqref="C79">
    <cfRule type="expression" dxfId="150" priority="706">
      <formula>$B79="label"</formula>
    </cfRule>
  </conditionalFormatting>
  <conditionalFormatting sqref="E79">
    <cfRule type="expression" dxfId="149" priority="705">
      <formula>$B79="label"</formula>
    </cfRule>
  </conditionalFormatting>
  <conditionalFormatting sqref="E79">
    <cfRule type="expression" dxfId="148" priority="702">
      <formula>$B79="popup"</formula>
    </cfRule>
    <cfRule type="expression" dxfId="147" priority="703">
      <formula>$B79="switchTo"</formula>
    </cfRule>
    <cfRule type="expression" dxfId="146" priority="704">
      <formula>$B79="wait"</formula>
    </cfRule>
  </conditionalFormatting>
  <conditionalFormatting sqref="B108 D110">
    <cfRule type="expression" dxfId="145" priority="698">
      <formula>$B108="switchTo"</formula>
    </cfRule>
    <cfRule type="expression" dxfId="144" priority="699">
      <formula>$B108="wait"</formula>
    </cfRule>
  </conditionalFormatting>
  <conditionalFormatting sqref="B108:F108 B110:F110">
    <cfRule type="expression" dxfId="143" priority="697">
      <formula>$B108="popup"</formula>
    </cfRule>
    <cfRule type="expression" dxfId="142" priority="700">
      <formula>$B108="switchTo"</formula>
    </cfRule>
    <cfRule type="expression" dxfId="141" priority="701">
      <formula>$B108="wait"</formula>
    </cfRule>
  </conditionalFormatting>
  <conditionalFormatting sqref="B108:F108 B110:F110">
    <cfRule type="expression" dxfId="140" priority="696">
      <formula>$B108="label"</formula>
    </cfRule>
  </conditionalFormatting>
  <conditionalFormatting sqref="B109:D109 F109">
    <cfRule type="expression" dxfId="139" priority="693">
      <formula>$B109="popup"</formula>
    </cfRule>
    <cfRule type="expression" dxfId="138" priority="694">
      <formula>$B109="switchTo"</formula>
    </cfRule>
    <cfRule type="expression" dxfId="137" priority="695">
      <formula>$B109="wait"</formula>
    </cfRule>
  </conditionalFormatting>
  <conditionalFormatting sqref="F109 B109:D109">
    <cfRule type="expression" dxfId="136" priority="692">
      <formula>$B109="label"</formula>
    </cfRule>
  </conditionalFormatting>
  <conditionalFormatting sqref="E109">
    <cfRule type="expression" dxfId="135" priority="689">
      <formula>$B109="popup"</formula>
    </cfRule>
    <cfRule type="expression" dxfId="134" priority="690">
      <formula>$B109="switchTo"</formula>
    </cfRule>
    <cfRule type="expression" dxfId="133" priority="691">
      <formula>$B109="wait"</formula>
    </cfRule>
  </conditionalFormatting>
  <conditionalFormatting sqref="E109">
    <cfRule type="expression" dxfId="132" priority="688">
      <formula>$B109="label"</formula>
    </cfRule>
  </conditionalFormatting>
  <conditionalFormatting sqref="F83">
    <cfRule type="expression" dxfId="131" priority="616">
      <formula>$B83="popup"</formula>
    </cfRule>
    <cfRule type="expression" dxfId="130" priority="617">
      <formula>$B83="switchTo"</formula>
    </cfRule>
    <cfRule type="expression" dxfId="129" priority="618">
      <formula>$B83="wait"</formula>
    </cfRule>
  </conditionalFormatting>
  <conditionalFormatting sqref="B83">
    <cfRule type="expression" dxfId="128" priority="615">
      <formula>$B83="label"</formula>
    </cfRule>
  </conditionalFormatting>
  <conditionalFormatting sqref="D83 F83">
    <cfRule type="expression" dxfId="127" priority="622">
      <formula>$B83="label"</formula>
    </cfRule>
  </conditionalFormatting>
  <conditionalFormatting sqref="B83 D83">
    <cfRule type="expression" dxfId="126" priority="619">
      <formula>$B83="popup"</formula>
    </cfRule>
    <cfRule type="expression" dxfId="125" priority="620">
      <formula>$B83="switchTo"</formula>
    </cfRule>
    <cfRule type="expression" dxfId="124" priority="621">
      <formula>$B83="wait"</formula>
    </cfRule>
  </conditionalFormatting>
  <conditionalFormatting sqref="E83">
    <cfRule type="expression" dxfId="123" priority="610">
      <formula>$B83="label"</formula>
    </cfRule>
  </conditionalFormatting>
  <conditionalFormatting sqref="E83">
    <cfRule type="expression" dxfId="122" priority="607">
      <formula>$B83="popup"</formula>
    </cfRule>
    <cfRule type="expression" dxfId="121" priority="608">
      <formula>$B83="switchTo"</formula>
    </cfRule>
    <cfRule type="expression" dxfId="120" priority="609">
      <formula>$B83="wait"</formula>
    </cfRule>
  </conditionalFormatting>
  <conditionalFormatting sqref="C83">
    <cfRule type="expression" dxfId="119" priority="604">
      <formula>$B83="popup"</formula>
    </cfRule>
    <cfRule type="expression" dxfId="118" priority="605">
      <formula>$B83="switchTo"</formula>
    </cfRule>
    <cfRule type="expression" dxfId="117" priority="606">
      <formula>$B83="wait"</formula>
    </cfRule>
  </conditionalFormatting>
  <conditionalFormatting sqref="C83">
    <cfRule type="expression" dxfId="116" priority="603">
      <formula>$B83="label"</formula>
    </cfRule>
  </conditionalFormatting>
  <conditionalFormatting sqref="D84 F84">
    <cfRule type="expression" dxfId="115" priority="602">
      <formula>$B84="label"</formula>
    </cfRule>
  </conditionalFormatting>
  <conditionalFormatting sqref="B84 D84">
    <cfRule type="expression" dxfId="114" priority="599">
      <formula>$B84="popup"</formula>
    </cfRule>
    <cfRule type="expression" dxfId="113" priority="600">
      <formula>$B84="switchTo"</formula>
    </cfRule>
    <cfRule type="expression" dxfId="112" priority="601">
      <formula>$B84="wait"</formula>
    </cfRule>
  </conditionalFormatting>
  <conditionalFormatting sqref="F84">
    <cfRule type="expression" dxfId="111" priority="596">
      <formula>$B84="popup"</formula>
    </cfRule>
    <cfRule type="expression" dxfId="110" priority="597">
      <formula>$B84="switchTo"</formula>
    </cfRule>
    <cfRule type="expression" dxfId="109" priority="598">
      <formula>$B84="wait"</formula>
    </cfRule>
  </conditionalFormatting>
  <conditionalFormatting sqref="B84">
    <cfRule type="expression" dxfId="108" priority="595">
      <formula>$B84="label"</formula>
    </cfRule>
  </conditionalFormatting>
  <conditionalFormatting sqref="E84">
    <cfRule type="expression" dxfId="107" priority="594">
      <formula>$B84="label"</formula>
    </cfRule>
  </conditionalFormatting>
  <conditionalFormatting sqref="E84">
    <cfRule type="expression" dxfId="106" priority="591">
      <formula>$B84="popup"</formula>
    </cfRule>
    <cfRule type="expression" dxfId="105" priority="592">
      <formula>$B84="switchTo"</formula>
    </cfRule>
    <cfRule type="expression" dxfId="104" priority="593">
      <formula>$B84="wait"</formula>
    </cfRule>
  </conditionalFormatting>
  <conditionalFormatting sqref="C84">
    <cfRule type="expression" dxfId="103" priority="588">
      <formula>$B84="popup"</formula>
    </cfRule>
    <cfRule type="expression" dxfId="102" priority="589">
      <formula>$B84="switchTo"</formula>
    </cfRule>
    <cfRule type="expression" dxfId="101" priority="590">
      <formula>$B84="wait"</formula>
    </cfRule>
  </conditionalFormatting>
  <conditionalFormatting sqref="C84">
    <cfRule type="expression" dxfId="100" priority="587">
      <formula>$B84="label"</formula>
    </cfRule>
  </conditionalFormatting>
  <conditionalFormatting sqref="D80:F82">
    <cfRule type="expression" dxfId="99" priority="584">
      <formula>$B80="popup"</formula>
    </cfRule>
    <cfRule type="expression" dxfId="98" priority="585">
      <formula>$B80="switchTo"</formula>
    </cfRule>
    <cfRule type="expression" dxfId="97" priority="586">
      <formula>$B80="wait"</formula>
    </cfRule>
  </conditionalFormatting>
  <conditionalFormatting sqref="D80:F82">
    <cfRule type="expression" dxfId="96" priority="583">
      <formula>$B80="label"</formula>
    </cfRule>
  </conditionalFormatting>
  <conditionalFormatting sqref="B80">
    <cfRule type="expression" dxfId="95" priority="580">
      <formula>$B80="popup"</formula>
    </cfRule>
    <cfRule type="expression" dxfId="94" priority="581">
      <formula>$B80="switchTo"</formula>
    </cfRule>
    <cfRule type="expression" dxfId="93" priority="582">
      <formula>$B80="wait"</formula>
    </cfRule>
  </conditionalFormatting>
  <conditionalFormatting sqref="B80">
    <cfRule type="expression" dxfId="92" priority="579">
      <formula>$B80="label"</formula>
    </cfRule>
  </conditionalFormatting>
  <conditionalFormatting sqref="C80">
    <cfRule type="expression" dxfId="91" priority="576">
      <formula>$B80="popup"</formula>
    </cfRule>
    <cfRule type="expression" dxfId="90" priority="577">
      <formula>$B80="switchTo"</formula>
    </cfRule>
    <cfRule type="expression" dxfId="89" priority="578">
      <formula>$B80="wait"</formula>
    </cfRule>
  </conditionalFormatting>
  <conditionalFormatting sqref="C80">
    <cfRule type="expression" dxfId="88" priority="575">
      <formula>$B80="label"</formula>
    </cfRule>
  </conditionalFormatting>
  <conditionalFormatting sqref="B81:C81 C82">
    <cfRule type="expression" dxfId="87" priority="572">
      <formula>$B81="popup"</formula>
    </cfRule>
    <cfRule type="expression" dxfId="86" priority="573">
      <formula>$B81="switchTo"</formula>
    </cfRule>
    <cfRule type="expression" dxfId="85" priority="574">
      <formula>$B81="wait"</formula>
    </cfRule>
  </conditionalFormatting>
  <conditionalFormatting sqref="B81:C81 C82">
    <cfRule type="expression" dxfId="84" priority="571">
      <formula>$B81="label"</formula>
    </cfRule>
  </conditionalFormatting>
  <conditionalFormatting sqref="D111:F111">
    <cfRule type="expression" dxfId="83" priority="568">
      <formula>$B111="popup"</formula>
    </cfRule>
    <cfRule type="expression" dxfId="82" priority="569">
      <formula>$B111="switchTo"</formula>
    </cfRule>
    <cfRule type="expression" dxfId="81" priority="570">
      <formula>$B111="wait"</formula>
    </cfRule>
  </conditionalFormatting>
  <conditionalFormatting sqref="D111:F111">
    <cfRule type="expression" dxfId="80" priority="567">
      <formula>$B111="label"</formula>
    </cfRule>
  </conditionalFormatting>
  <conditionalFormatting sqref="B111">
    <cfRule type="expression" dxfId="79" priority="564">
      <formula>$B111="popup"</formula>
    </cfRule>
    <cfRule type="expression" dxfId="78" priority="565">
      <formula>$B111="switchTo"</formula>
    </cfRule>
    <cfRule type="expression" dxfId="77" priority="566">
      <formula>$B111="wait"</formula>
    </cfRule>
  </conditionalFormatting>
  <conditionalFormatting sqref="B111">
    <cfRule type="expression" dxfId="76" priority="563">
      <formula>$B111="label"</formula>
    </cfRule>
  </conditionalFormatting>
  <conditionalFormatting sqref="C111">
    <cfRule type="expression" dxfId="75" priority="560">
      <formula>$B111="popup"</formula>
    </cfRule>
    <cfRule type="expression" dxfId="74" priority="561">
      <formula>$B111="switchTo"</formula>
    </cfRule>
    <cfRule type="expression" dxfId="73" priority="562">
      <formula>$B111="wait"</formula>
    </cfRule>
  </conditionalFormatting>
  <conditionalFormatting sqref="C111">
    <cfRule type="expression" dxfId="72" priority="559">
      <formula>$B111="label"</formula>
    </cfRule>
  </conditionalFormatting>
  <conditionalFormatting sqref="D112:F112">
    <cfRule type="expression" dxfId="71" priority="556">
      <formula>$B112="popup"</formula>
    </cfRule>
    <cfRule type="expression" dxfId="70" priority="557">
      <formula>$B112="switchTo"</formula>
    </cfRule>
    <cfRule type="expression" dxfId="69" priority="558">
      <formula>$B112="wait"</formula>
    </cfRule>
  </conditionalFormatting>
  <conditionalFormatting sqref="D112:F112">
    <cfRule type="expression" dxfId="68" priority="555">
      <formula>$B112="label"</formula>
    </cfRule>
  </conditionalFormatting>
  <conditionalFormatting sqref="C112">
    <cfRule type="expression" dxfId="67" priority="552">
      <formula>$B112="popup"</formula>
    </cfRule>
    <cfRule type="expression" dxfId="66" priority="553">
      <formula>$B112="switchTo"</formula>
    </cfRule>
    <cfRule type="expression" dxfId="65" priority="554">
      <formula>$B112="wait"</formula>
    </cfRule>
  </conditionalFormatting>
  <conditionalFormatting sqref="C112">
    <cfRule type="expression" dxfId="64" priority="551">
      <formula>$B112="label"</formula>
    </cfRule>
  </conditionalFormatting>
  <conditionalFormatting sqref="B112">
    <cfRule type="expression" dxfId="63" priority="548">
      <formula>$B112="popup"</formula>
    </cfRule>
    <cfRule type="expression" dxfId="62" priority="549">
      <formula>$B112="switchTo"</formula>
    </cfRule>
    <cfRule type="expression" dxfId="61" priority="550">
      <formula>$B112="wait"</formula>
    </cfRule>
  </conditionalFormatting>
  <conditionalFormatting sqref="B112">
    <cfRule type="expression" dxfId="60" priority="547">
      <formula>$B112="label"</formula>
    </cfRule>
  </conditionalFormatting>
  <conditionalFormatting sqref="C37:F37">
    <cfRule type="expression" dxfId="59" priority="529">
      <formula>$B37="switchTo"</formula>
    </cfRule>
    <cfRule type="expression" dxfId="58" priority="530">
      <formula>$B37="wait"</formula>
    </cfRule>
  </conditionalFormatting>
  <conditionalFormatting sqref="C37:F37">
    <cfRule type="expression" dxfId="57" priority="528">
      <formula>$B37="popup"</formula>
    </cfRule>
    <cfRule type="expression" dxfId="56" priority="531">
      <formula>$B37="switchTo"</formula>
    </cfRule>
    <cfRule type="expression" dxfId="55" priority="532">
      <formula>$B37="wait"</formula>
    </cfRule>
  </conditionalFormatting>
  <conditionalFormatting sqref="C37:F37">
    <cfRule type="expression" dxfId="54" priority="527">
      <formula>$B37="label"</formula>
    </cfRule>
  </conditionalFormatting>
  <conditionalFormatting sqref="D78:F78">
    <cfRule type="expression" dxfId="53" priority="96">
      <formula>$B78="popup"</formula>
    </cfRule>
    <cfRule type="expression" dxfId="52" priority="97">
      <formula>$B78="switchTo"</formula>
    </cfRule>
    <cfRule type="expression" dxfId="51" priority="98">
      <formula>$B78="wait"</formula>
    </cfRule>
  </conditionalFormatting>
  <conditionalFormatting sqref="D78:F78">
    <cfRule type="expression" dxfId="50" priority="95">
      <formula>$B78="label"</formula>
    </cfRule>
  </conditionalFormatting>
  <conditionalFormatting sqref="B78:C78">
    <cfRule type="expression" dxfId="49" priority="92">
      <formula>$B78="popup"</formula>
    </cfRule>
    <cfRule type="expression" dxfId="48" priority="93">
      <formula>$B78="switchTo"</formula>
    </cfRule>
    <cfRule type="expression" dxfId="47" priority="94">
      <formula>$B78="wait"</formula>
    </cfRule>
  </conditionalFormatting>
  <conditionalFormatting sqref="B78:C78">
    <cfRule type="expression" dxfId="46" priority="91">
      <formula>$B78="label"</formula>
    </cfRule>
  </conditionalFormatting>
  <conditionalFormatting sqref="B82">
    <cfRule type="expression" dxfId="45" priority="87">
      <formula>$B82="label"</formula>
    </cfRule>
  </conditionalFormatting>
  <conditionalFormatting sqref="B82">
    <cfRule type="expression" dxfId="44" priority="88">
      <formula>$B82="popup"</formula>
    </cfRule>
    <cfRule type="expression" dxfId="43" priority="89">
      <formula>$B82="switchTo"</formula>
    </cfRule>
    <cfRule type="expression" dxfId="42" priority="90">
      <formula>$B82="wait"</formula>
    </cfRule>
  </conditionalFormatting>
  <conditionalFormatting sqref="D128 F128">
    <cfRule type="expression" dxfId="41" priority="16">
      <formula>$B128="popup"</formula>
    </cfRule>
    <cfRule type="expression" dxfId="40" priority="17">
      <formula>$B128="switchTo"</formula>
    </cfRule>
    <cfRule type="expression" dxfId="39" priority="18">
      <formula>$B128="wait"</formula>
    </cfRule>
  </conditionalFormatting>
  <conditionalFormatting sqref="B128">
    <cfRule type="expression" dxfId="38" priority="13">
      <formula>$B128="popup"</formula>
    </cfRule>
    <cfRule type="expression" dxfId="37" priority="14">
      <formula>$B128="switchTo"</formula>
    </cfRule>
    <cfRule type="expression" dxfId="36" priority="15">
      <formula>$B128="wait"</formula>
    </cfRule>
  </conditionalFormatting>
  <conditionalFormatting sqref="C128">
    <cfRule type="expression" dxfId="35" priority="10">
      <formula>$B128="popup"</formula>
    </cfRule>
    <cfRule type="expression" dxfId="34" priority="11">
      <formula>$B128="switchTo"</formula>
    </cfRule>
    <cfRule type="expression" dxfId="33" priority="12">
      <formula>$B128="wait"</formula>
    </cfRule>
  </conditionalFormatting>
  <conditionalFormatting sqref="F128 B128:D128">
    <cfRule type="expression" dxfId="32" priority="9">
      <formula>$B128="label"</formula>
    </cfRule>
  </conditionalFormatting>
  <conditionalFormatting sqref="E128">
    <cfRule type="expression" dxfId="31" priority="6">
      <formula>$B128="popup"</formula>
    </cfRule>
    <cfRule type="expression" dxfId="30" priority="7">
      <formula>$B128="switchTo"</formula>
    </cfRule>
    <cfRule type="expression" dxfId="29" priority="8">
      <formula>$B128="wait"</formula>
    </cfRule>
  </conditionalFormatting>
  <conditionalFormatting sqref="E128">
    <cfRule type="expression" dxfId="28" priority="5">
      <formula>$B128="label"</formula>
    </cfRule>
  </conditionalFormatting>
  <conditionalFormatting sqref="E25">
    <cfRule type="expression" dxfId="27" priority="2">
      <formula>$B25="popup"</formula>
    </cfRule>
    <cfRule type="expression" dxfId="26" priority="3">
      <formula>$B25="switchTo"</formula>
    </cfRule>
    <cfRule type="expression" dxfId="25" priority="4">
      <formula>$B25="wait"</formula>
    </cfRule>
  </conditionalFormatting>
  <conditionalFormatting sqref="E25">
    <cfRule type="expression" dxfId="24" priority="1">
      <formula>$B25="label"</formula>
    </cfRule>
  </conditionalFormatting>
  <hyperlinks>
    <hyperlink ref="C20" r:id="rId1"/>
    <hyperlink ref="C130" r:id="rId2"/>
    <hyperlink ref="C96" r:id="rId3"/>
    <hyperlink ref="C114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097" r:id="rId8" name="btnExportYML">
          <controlPr defaultSize="0" autoLine="0" r:id="rId9">
            <anchor moveWithCells="1">
              <from>
                <xdr:col>2</xdr:col>
                <xdr:colOff>1552575</xdr:colOff>
                <xdr:row>1</xdr:row>
                <xdr:rowOff>57150</xdr:rowOff>
              </from>
              <to>
                <xdr:col>2</xdr:col>
                <xdr:colOff>2676525</xdr:colOff>
                <xdr:row>2</xdr:row>
                <xdr:rowOff>180975</xdr:rowOff>
              </to>
            </anchor>
          </controlPr>
        </control>
      </mc:Choice>
      <mc:Fallback>
        <control shapeId="4097" r:id="rId8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7"/>
  <sheetViews>
    <sheetView zoomScale="85" zoomScaleNormal="85" workbookViewId="0">
      <selection activeCell="C37" sqref="C37"/>
    </sheetView>
  </sheetViews>
  <sheetFormatPr defaultRowHeight="18.75"/>
  <cols>
    <col min="1" max="1" width="9.375" bestFit="1" customWidth="1"/>
    <col min="3" max="3" width="24.75" customWidth="1"/>
    <col min="4" max="4" width="33.625" style="33" customWidth="1"/>
    <col min="5" max="5" width="27.125" customWidth="1"/>
    <col min="7" max="7" width="20.625" customWidth="1"/>
    <col min="11" max="11" width="45" customWidth="1"/>
  </cols>
  <sheetData>
    <row r="1" spans="1:11" ht="36">
      <c r="A1" s="2">
        <f>COUNTA(B:B)-1</f>
        <v>36</v>
      </c>
      <c r="B1" s="3" t="s">
        <v>16</v>
      </c>
      <c r="C1" s="34" t="s">
        <v>175</v>
      </c>
      <c r="D1" s="35" t="str">
        <f ca="1">_xll.ReplaceMatch(main!D3,"\s+","")</f>
        <v>1800_PurReq(CommMgmt)20210408133432</v>
      </c>
      <c r="E1" s="4" t="s">
        <v>122</v>
      </c>
      <c r="F1" s="4" t="s">
        <v>18</v>
      </c>
      <c r="G1" s="21" t="s">
        <v>85</v>
      </c>
      <c r="H1" s="21" t="s">
        <v>149</v>
      </c>
      <c r="I1" s="21" t="s">
        <v>126</v>
      </c>
      <c r="J1" s="21" t="s">
        <v>173</v>
      </c>
      <c r="K1" s="20" t="s">
        <v>152</v>
      </c>
    </row>
    <row r="2" spans="1:11">
      <c r="B2" s="17" t="s">
        <v>128</v>
      </c>
      <c r="C2" s="18" t="s">
        <v>178</v>
      </c>
      <c r="D2" s="33" t="str">
        <f t="shared" ref="D2" si="0">IF(OR(H2="02",H2="03"),LEFT($D$1&amp;"-TEST00000000000000000000000",I2),IF(H2="04",ROW(),IF(H2="06",G2,"")))</f>
        <v>5hxa7z32d6tlse9</v>
      </c>
      <c r="G2" s="22" t="s">
        <v>227</v>
      </c>
      <c r="H2" s="22" t="s">
        <v>176</v>
      </c>
      <c r="I2" s="29" t="s">
        <v>127</v>
      </c>
      <c r="J2" s="29" t="s">
        <v>127</v>
      </c>
      <c r="K2" s="20" t="s">
        <v>153</v>
      </c>
    </row>
    <row r="3" spans="1:11">
      <c r="B3" s="24" t="s">
        <v>76</v>
      </c>
      <c r="C3" t="str">
        <f t="shared" ref="C2:C8" si="1">"id="&amp;G3</f>
        <v>id=5hxa7zflfnwwxe9</v>
      </c>
      <c r="D3" s="33" t="str">
        <f t="shared" ref="D2:D8" ca="1" si="2">IF(OR(H3="02", H3="03"),LEFT($D$1&amp;"-TEST00000000000000000000000",I3),IF(H3="04",ROW(),""))</f>
        <v>1800_PurReq(CommMgmt)20210408133432-TEST0000000000000000000</v>
      </c>
      <c r="G3" s="22" t="s">
        <v>202</v>
      </c>
      <c r="H3" s="22" t="s">
        <v>150</v>
      </c>
      <c r="I3" s="23">
        <v>59</v>
      </c>
      <c r="J3" s="29" t="s">
        <v>127</v>
      </c>
      <c r="K3" s="20" t="s">
        <v>154</v>
      </c>
    </row>
    <row r="4" spans="1:11">
      <c r="B4" s="24" t="s">
        <v>76</v>
      </c>
      <c r="C4" t="str">
        <f t="shared" si="1"/>
        <v>id=5hxa7zflkfcxte9</v>
      </c>
      <c r="D4" s="33" t="str">
        <f t="shared" ca="1" si="2"/>
        <v>1800_PurReq(CommMgmt)20210408133432-TEST0000000000000000000</v>
      </c>
      <c r="G4" s="22" t="s">
        <v>203</v>
      </c>
      <c r="H4" s="22" t="s">
        <v>150</v>
      </c>
      <c r="I4" s="23">
        <v>59</v>
      </c>
      <c r="J4" s="29" t="s">
        <v>127</v>
      </c>
      <c r="K4" s="20" t="s">
        <v>155</v>
      </c>
    </row>
    <row r="5" spans="1:11">
      <c r="B5" s="24" t="s">
        <v>76</v>
      </c>
      <c r="C5" t="str">
        <f t="shared" si="1"/>
        <v>id=5hxa7zfmka4yae9</v>
      </c>
      <c r="D5" s="33" t="str">
        <f t="shared" ca="1" si="2"/>
        <v>1800_PurReq(CommMgmt)20210408133432-TEST0000000000000000000</v>
      </c>
      <c r="G5" s="22" t="s">
        <v>204</v>
      </c>
      <c r="H5" s="22" t="s">
        <v>150</v>
      </c>
      <c r="I5" s="23">
        <v>59</v>
      </c>
      <c r="J5" s="29" t="s">
        <v>127</v>
      </c>
      <c r="K5" s="20" t="s">
        <v>156</v>
      </c>
    </row>
    <row r="6" spans="1:11">
      <c r="B6" s="24" t="s">
        <v>76</v>
      </c>
      <c r="C6" t="str">
        <f t="shared" si="1"/>
        <v>id=5hxa7zfmo2uyre9</v>
      </c>
      <c r="D6" s="33" t="str">
        <f t="shared" ca="1" si="2"/>
        <v>1800_PurReq(CommMgmt)20210408133432-TEST0000000000000000000</v>
      </c>
      <c r="G6" s="22" t="s">
        <v>205</v>
      </c>
      <c r="H6" s="22" t="s">
        <v>150</v>
      </c>
      <c r="I6" s="23">
        <v>59</v>
      </c>
      <c r="J6" s="29" t="s">
        <v>127</v>
      </c>
      <c r="K6" s="20" t="s">
        <v>157</v>
      </c>
    </row>
    <row r="7" spans="1:11">
      <c r="B7" s="24" t="s">
        <v>76</v>
      </c>
      <c r="C7" t="str">
        <f t="shared" si="1"/>
        <v>id=5hxa7zfyg0kege9</v>
      </c>
      <c r="D7" s="33" t="str">
        <f t="shared" ca="1" si="2"/>
        <v>1800_PurReq(CommMgmt)20210408133432-TEST0000000000000000000</v>
      </c>
      <c r="G7" s="22" t="s">
        <v>206</v>
      </c>
      <c r="H7" s="22" t="s">
        <v>150</v>
      </c>
      <c r="I7" s="23">
        <v>59</v>
      </c>
      <c r="J7" s="29" t="s">
        <v>127</v>
      </c>
      <c r="K7" s="20" t="s">
        <v>158</v>
      </c>
    </row>
    <row r="8" spans="1:11">
      <c r="B8" s="24" t="s">
        <v>76</v>
      </c>
      <c r="C8" t="str">
        <f t="shared" si="1"/>
        <v>id=5hxa7zfzhhjexe9</v>
      </c>
      <c r="D8" s="33" t="str">
        <f t="shared" ca="1" si="2"/>
        <v>1800_PurReq(CommMgmt)20210408133432-TEST0000000000000000000</v>
      </c>
      <c r="G8" s="22" t="s">
        <v>207</v>
      </c>
      <c r="H8" s="22" t="s">
        <v>150</v>
      </c>
      <c r="I8" s="23">
        <v>59</v>
      </c>
      <c r="J8" s="29" t="s">
        <v>127</v>
      </c>
      <c r="K8" s="20" t="s">
        <v>159</v>
      </c>
    </row>
    <row r="9" spans="1:11">
      <c r="B9" s="24" t="s">
        <v>76</v>
      </c>
      <c r="C9" t="str">
        <f t="shared" ref="C9:C36" si="3">"id="&amp;G9</f>
        <v>id=5hxa7zfzn0rfwe9</v>
      </c>
      <c r="D9" s="33" t="str">
        <f t="shared" ref="D9:D36" ca="1" si="4">IF(OR(H9="02", H9="03"),LEFT($D$1&amp;"-TEST00000000000000000000000",I9),IF(H9="04",ROW(),""))</f>
        <v>1800_PurReq(CommMgmt)20210408133432-TEST0000000000000000000</v>
      </c>
      <c r="G9" s="22" t="s">
        <v>208</v>
      </c>
      <c r="H9" s="22" t="s">
        <v>150</v>
      </c>
      <c r="I9" s="23">
        <v>59</v>
      </c>
      <c r="J9" s="29" t="s">
        <v>127</v>
      </c>
      <c r="K9" s="20" t="s">
        <v>160</v>
      </c>
    </row>
    <row r="10" spans="1:11">
      <c r="B10" s="24" t="s">
        <v>76</v>
      </c>
      <c r="C10" t="str">
        <f t="shared" si="3"/>
        <v>id=5hxa7zfzrwjhae9</v>
      </c>
      <c r="D10" s="33" t="str">
        <f t="shared" ca="1" si="4"/>
        <v>1800_PurReq(CommMgmt)20210408133432-TEST0000000000000000000</v>
      </c>
      <c r="G10" s="22" t="s">
        <v>209</v>
      </c>
      <c r="H10" s="22" t="s">
        <v>150</v>
      </c>
      <c r="I10" s="23">
        <v>59</v>
      </c>
      <c r="J10" s="29" t="s">
        <v>127</v>
      </c>
      <c r="K10" s="20" t="s">
        <v>161</v>
      </c>
    </row>
    <row r="11" spans="1:11">
      <c r="B11" s="24" t="s">
        <v>76</v>
      </c>
      <c r="C11" t="str">
        <f t="shared" si="3"/>
        <v>id=5hxa7z3e2mrybe9</v>
      </c>
      <c r="D11" s="33" t="str">
        <f t="shared" ca="1" si="4"/>
        <v>1800_PurReq(Com</v>
      </c>
      <c r="G11" s="22" t="s">
        <v>210</v>
      </c>
      <c r="H11" s="22" t="s">
        <v>150</v>
      </c>
      <c r="I11" s="23">
        <v>15</v>
      </c>
      <c r="J11" s="29" t="s">
        <v>127</v>
      </c>
      <c r="K11" s="20" t="s">
        <v>162</v>
      </c>
    </row>
    <row r="12" spans="1:11">
      <c r="B12" s="24" t="s">
        <v>76</v>
      </c>
      <c r="C12" t="str">
        <f t="shared" si="3"/>
        <v>id=5hxa7z34emiure9</v>
      </c>
      <c r="D12" s="33" t="str">
        <f t="shared" ca="1" si="4"/>
        <v>1800_PurReq(CommMgmt)20210408133432-TEST00000000000000000000</v>
      </c>
      <c r="G12" s="22" t="s">
        <v>211</v>
      </c>
      <c r="H12" s="22" t="s">
        <v>150</v>
      </c>
      <c r="I12" s="23">
        <v>60</v>
      </c>
      <c r="J12" s="29" t="s">
        <v>127</v>
      </c>
      <c r="K12" s="20" t="s">
        <v>163</v>
      </c>
    </row>
    <row r="13" spans="1:11">
      <c r="B13" s="24" t="s">
        <v>76</v>
      </c>
      <c r="C13" t="str">
        <f t="shared" si="3"/>
        <v>id=5hxa7z36jq45pe9</v>
      </c>
      <c r="D13" s="33" t="str">
        <f t="shared" ca="1" si="4"/>
        <v>1800_PurReq(CommMgmt)20210408133432-TEST00000000000000000000</v>
      </c>
      <c r="G13" s="22" t="s">
        <v>212</v>
      </c>
      <c r="H13" s="22" t="s">
        <v>150</v>
      </c>
      <c r="I13" s="23">
        <v>60</v>
      </c>
      <c r="J13" s="29" t="s">
        <v>127</v>
      </c>
      <c r="K13" s="20" t="s">
        <v>164</v>
      </c>
    </row>
    <row r="14" spans="1:11">
      <c r="B14" s="24" t="s">
        <v>76</v>
      </c>
      <c r="C14" t="str">
        <f t="shared" si="3"/>
        <v>id=5hxa7z36s3r8be9</v>
      </c>
      <c r="D14" s="33" t="str">
        <f t="shared" ca="1" si="4"/>
        <v>1800_PurReq(CommMgmt)20210408133432-TEST00000000000000000000</v>
      </c>
      <c r="G14" s="22" t="s">
        <v>213</v>
      </c>
      <c r="H14" s="22" t="s">
        <v>150</v>
      </c>
      <c r="I14" s="23">
        <v>60</v>
      </c>
      <c r="J14" s="29" t="s">
        <v>127</v>
      </c>
      <c r="K14" s="20" t="s">
        <v>165</v>
      </c>
    </row>
    <row r="15" spans="1:11">
      <c r="B15" s="24" t="s">
        <v>76</v>
      </c>
      <c r="C15" t="str">
        <f t="shared" si="3"/>
        <v>id=5hxa7z3b83scwe9</v>
      </c>
      <c r="D15" s="33" t="str">
        <f t="shared" ca="1" si="4"/>
        <v>1800_PurReq(CommMgmt)20210408133432-TEST00000000000000000000</v>
      </c>
      <c r="G15" s="22" t="s">
        <v>214</v>
      </c>
      <c r="H15" s="22" t="s">
        <v>150</v>
      </c>
      <c r="I15" s="23">
        <v>60</v>
      </c>
      <c r="J15" s="29" t="s">
        <v>127</v>
      </c>
      <c r="K15" s="20" t="s">
        <v>166</v>
      </c>
    </row>
    <row r="16" spans="1:11">
      <c r="B16" s="24" t="s">
        <v>76</v>
      </c>
      <c r="C16" t="str">
        <f t="shared" si="3"/>
        <v>id=5hxa7z3o8014je9</v>
      </c>
      <c r="D16" s="33" t="str">
        <f t="shared" ca="1" si="4"/>
        <v>1800_PurReq(CommMgmt)20210408133432-TEST0000000000000000000</v>
      </c>
      <c r="G16" s="22" t="s">
        <v>215</v>
      </c>
      <c r="H16" s="22" t="s">
        <v>150</v>
      </c>
      <c r="I16" s="23">
        <v>59</v>
      </c>
      <c r="J16" s="29" t="s">
        <v>127</v>
      </c>
      <c r="K16" s="20" t="s">
        <v>167</v>
      </c>
    </row>
    <row r="17" spans="2:11">
      <c r="B17" s="24" t="s">
        <v>76</v>
      </c>
      <c r="C17" t="str">
        <f t="shared" si="3"/>
        <v>id=5hxa7zfzvoenwe9</v>
      </c>
      <c r="D17" s="33" t="str">
        <f t="shared" ca="1" si="4"/>
        <v>1800_PurReq(CommMgmt)20210408133432-TEST0000000000000000000</v>
      </c>
      <c r="G17" s="22" t="s">
        <v>216</v>
      </c>
      <c r="H17" s="22" t="s">
        <v>150</v>
      </c>
      <c r="I17" s="23">
        <v>59</v>
      </c>
      <c r="J17" s="29" t="s">
        <v>127</v>
      </c>
      <c r="K17" s="20" t="str">
        <f>"      t2.process_def_name like '"&amp;main!D2&amp;"%' "</f>
        <v xml:space="preserve">      t2.process_def_name like '1800_Pur Req(Comm Mgmt)%' </v>
      </c>
    </row>
    <row r="18" spans="2:11">
      <c r="B18" s="24" t="s">
        <v>76</v>
      </c>
      <c r="C18" t="str">
        <f t="shared" si="3"/>
        <v>id=price10</v>
      </c>
      <c r="D18" s="33">
        <f t="shared" si="4"/>
        <v>18</v>
      </c>
      <c r="G18" s="22" t="s">
        <v>217</v>
      </c>
      <c r="H18" s="22" t="s">
        <v>151</v>
      </c>
      <c r="I18" s="23">
        <v>10</v>
      </c>
      <c r="J18" s="23">
        <v>2</v>
      </c>
      <c r="K18" s="20" t="s">
        <v>168</v>
      </c>
    </row>
    <row r="19" spans="2:11">
      <c r="B19" s="24" t="s">
        <v>76</v>
      </c>
      <c r="C19" t="str">
        <f t="shared" si="3"/>
        <v>id=qty10</v>
      </c>
      <c r="D19" s="33">
        <f t="shared" si="4"/>
        <v>19</v>
      </c>
      <c r="G19" s="22" t="s">
        <v>192</v>
      </c>
      <c r="H19" s="22" t="s">
        <v>151</v>
      </c>
      <c r="I19" s="23">
        <v>10</v>
      </c>
      <c r="J19" s="23">
        <v>2</v>
      </c>
      <c r="K19" s="20" t="s">
        <v>169</v>
      </c>
    </row>
    <row r="20" spans="2:11">
      <c r="B20" s="24" t="s">
        <v>76</v>
      </c>
      <c r="C20" t="str">
        <f t="shared" si="3"/>
        <v>id=price1</v>
      </c>
      <c r="D20" s="33">
        <f t="shared" si="4"/>
        <v>20</v>
      </c>
      <c r="G20" s="22" t="s">
        <v>218</v>
      </c>
      <c r="H20" s="22" t="s">
        <v>151</v>
      </c>
      <c r="I20" s="23">
        <v>10</v>
      </c>
      <c r="J20" s="23">
        <v>2</v>
      </c>
      <c r="K20" s="20" t="s">
        <v>170</v>
      </c>
    </row>
    <row r="21" spans="2:11">
      <c r="B21" s="24" t="s">
        <v>76</v>
      </c>
      <c r="C21" t="str">
        <f t="shared" si="3"/>
        <v>id=qty1</v>
      </c>
      <c r="D21" s="33">
        <f t="shared" si="4"/>
        <v>21</v>
      </c>
      <c r="G21" s="22" t="s">
        <v>200</v>
      </c>
      <c r="H21" s="22" t="s">
        <v>151</v>
      </c>
      <c r="I21" s="23">
        <v>10</v>
      </c>
      <c r="J21" s="23">
        <v>2</v>
      </c>
      <c r="K21" s="20" t="s">
        <v>171</v>
      </c>
    </row>
    <row r="22" spans="2:11">
      <c r="B22" s="24" t="s">
        <v>76</v>
      </c>
      <c r="C22" t="str">
        <f t="shared" si="3"/>
        <v>id=price9</v>
      </c>
      <c r="D22" s="33">
        <f t="shared" si="4"/>
        <v>22</v>
      </c>
      <c r="G22" s="22" t="s">
        <v>219</v>
      </c>
      <c r="H22" s="22" t="s">
        <v>151</v>
      </c>
      <c r="I22" s="23">
        <v>10</v>
      </c>
      <c r="J22" s="23">
        <v>2</v>
      </c>
      <c r="K22" s="20" t="s">
        <v>172</v>
      </c>
    </row>
    <row r="23" spans="2:11">
      <c r="B23" s="24" t="s">
        <v>76</v>
      </c>
      <c r="C23" t="str">
        <f t="shared" si="3"/>
        <v>id=qty9</v>
      </c>
      <c r="D23" s="33">
        <f t="shared" si="4"/>
        <v>23</v>
      </c>
      <c r="G23" s="22" t="s">
        <v>193</v>
      </c>
      <c r="H23" s="22" t="s">
        <v>151</v>
      </c>
      <c r="I23" s="23">
        <v>10</v>
      </c>
      <c r="J23" s="23">
        <v>2</v>
      </c>
      <c r="K23" s="20"/>
    </row>
    <row r="24" spans="2:11">
      <c r="B24" s="24" t="s">
        <v>76</v>
      </c>
      <c r="C24" t="str">
        <f t="shared" si="3"/>
        <v>id=price8</v>
      </c>
      <c r="D24" s="33">
        <f t="shared" si="4"/>
        <v>24</v>
      </c>
      <c r="G24" s="22" t="s">
        <v>220</v>
      </c>
      <c r="H24" s="22" t="s">
        <v>151</v>
      </c>
      <c r="I24" s="23">
        <v>10</v>
      </c>
      <c r="J24" s="23">
        <v>2</v>
      </c>
      <c r="K24" s="20"/>
    </row>
    <row r="25" spans="2:11">
      <c r="B25" s="24" t="s">
        <v>76</v>
      </c>
      <c r="C25" t="str">
        <f t="shared" si="3"/>
        <v>id=qty8</v>
      </c>
      <c r="D25" s="33">
        <f t="shared" si="4"/>
        <v>25</v>
      </c>
      <c r="G25" s="22" t="s">
        <v>194</v>
      </c>
      <c r="H25" s="22" t="s">
        <v>151</v>
      </c>
      <c r="I25" s="23">
        <v>10</v>
      </c>
      <c r="J25" s="23">
        <v>2</v>
      </c>
      <c r="K25" s="20"/>
    </row>
    <row r="26" spans="2:11">
      <c r="B26" s="24" t="s">
        <v>76</v>
      </c>
      <c r="C26" t="str">
        <f t="shared" si="3"/>
        <v>id=price7</v>
      </c>
      <c r="D26" s="33">
        <f t="shared" si="4"/>
        <v>26</v>
      </c>
      <c r="G26" s="22" t="s">
        <v>221</v>
      </c>
      <c r="H26" s="22" t="s">
        <v>151</v>
      </c>
      <c r="I26" s="23">
        <v>10</v>
      </c>
      <c r="J26" s="23">
        <v>2</v>
      </c>
      <c r="K26" s="20"/>
    </row>
    <row r="27" spans="2:11">
      <c r="B27" s="24" t="s">
        <v>76</v>
      </c>
      <c r="C27" t="str">
        <f t="shared" si="3"/>
        <v>id=qty7</v>
      </c>
      <c r="D27" s="33">
        <f t="shared" si="4"/>
        <v>27</v>
      </c>
      <c r="G27" s="22" t="s">
        <v>195</v>
      </c>
      <c r="H27" s="22" t="s">
        <v>151</v>
      </c>
      <c r="I27" s="23">
        <v>10</v>
      </c>
      <c r="J27" s="23">
        <v>2</v>
      </c>
      <c r="K27" s="20"/>
    </row>
    <row r="28" spans="2:11">
      <c r="B28" s="24" t="s">
        <v>76</v>
      </c>
      <c r="C28" t="str">
        <f t="shared" si="3"/>
        <v>id=price6</v>
      </c>
      <c r="D28" s="33">
        <f t="shared" si="4"/>
        <v>28</v>
      </c>
      <c r="G28" s="22" t="s">
        <v>222</v>
      </c>
      <c r="H28" s="22" t="s">
        <v>151</v>
      </c>
      <c r="I28" s="23">
        <v>10</v>
      </c>
      <c r="J28" s="23">
        <v>2</v>
      </c>
    </row>
    <row r="29" spans="2:11">
      <c r="B29" s="24" t="s">
        <v>76</v>
      </c>
      <c r="C29" t="str">
        <f t="shared" si="3"/>
        <v>id=qty6</v>
      </c>
      <c r="D29" s="33">
        <f t="shared" si="4"/>
        <v>29</v>
      </c>
      <c r="G29" s="22" t="s">
        <v>196</v>
      </c>
      <c r="H29" s="22" t="s">
        <v>151</v>
      </c>
      <c r="I29" s="23">
        <v>10</v>
      </c>
      <c r="J29" s="23">
        <v>2</v>
      </c>
    </row>
    <row r="30" spans="2:11">
      <c r="B30" s="24" t="s">
        <v>76</v>
      </c>
      <c r="C30" t="str">
        <f t="shared" si="3"/>
        <v>id=price5</v>
      </c>
      <c r="D30" s="33">
        <f t="shared" si="4"/>
        <v>30</v>
      </c>
      <c r="G30" s="22" t="s">
        <v>223</v>
      </c>
      <c r="H30" s="22" t="s">
        <v>151</v>
      </c>
      <c r="I30" s="23">
        <v>10</v>
      </c>
      <c r="J30" s="23">
        <v>2</v>
      </c>
    </row>
    <row r="31" spans="2:11">
      <c r="B31" s="24" t="s">
        <v>76</v>
      </c>
      <c r="C31" t="str">
        <f t="shared" si="3"/>
        <v>id=qty5</v>
      </c>
      <c r="D31" s="33">
        <f t="shared" si="4"/>
        <v>31</v>
      </c>
      <c r="G31" s="22" t="s">
        <v>197</v>
      </c>
      <c r="H31" s="22" t="s">
        <v>151</v>
      </c>
      <c r="I31" s="23">
        <v>10</v>
      </c>
      <c r="J31" s="23">
        <v>2</v>
      </c>
    </row>
    <row r="32" spans="2:11">
      <c r="B32" s="24" t="s">
        <v>76</v>
      </c>
      <c r="C32" t="str">
        <f t="shared" si="3"/>
        <v>id=price4</v>
      </c>
      <c r="D32" s="33">
        <f t="shared" si="4"/>
        <v>32</v>
      </c>
      <c r="G32" s="22" t="s">
        <v>224</v>
      </c>
      <c r="H32" s="22" t="s">
        <v>151</v>
      </c>
      <c r="I32" s="23">
        <v>10</v>
      </c>
      <c r="J32" s="23">
        <v>2</v>
      </c>
    </row>
    <row r="33" spans="2:10">
      <c r="B33" s="24" t="s">
        <v>76</v>
      </c>
      <c r="C33" t="str">
        <f t="shared" si="3"/>
        <v>id=qty4</v>
      </c>
      <c r="D33" s="33">
        <f t="shared" si="4"/>
        <v>33</v>
      </c>
      <c r="G33" s="22" t="s">
        <v>198</v>
      </c>
      <c r="H33" s="22" t="s">
        <v>151</v>
      </c>
      <c r="I33" s="23">
        <v>10</v>
      </c>
      <c r="J33" s="23">
        <v>2</v>
      </c>
    </row>
    <row r="34" spans="2:10">
      <c r="B34" s="24" t="s">
        <v>76</v>
      </c>
      <c r="C34" t="str">
        <f t="shared" si="3"/>
        <v>id=price3</v>
      </c>
      <c r="D34" s="33">
        <f t="shared" si="4"/>
        <v>34</v>
      </c>
      <c r="G34" s="22" t="s">
        <v>225</v>
      </c>
      <c r="H34" s="22" t="s">
        <v>151</v>
      </c>
      <c r="I34" s="23">
        <v>10</v>
      </c>
      <c r="J34" s="23">
        <v>2</v>
      </c>
    </row>
    <row r="35" spans="2:10">
      <c r="B35" s="24" t="s">
        <v>76</v>
      </c>
      <c r="C35" t="str">
        <f t="shared" si="3"/>
        <v>id=qty3</v>
      </c>
      <c r="D35" s="33">
        <f t="shared" si="4"/>
        <v>35</v>
      </c>
      <c r="G35" s="22" t="s">
        <v>191</v>
      </c>
      <c r="H35" s="22" t="s">
        <v>151</v>
      </c>
      <c r="I35" s="23">
        <v>10</v>
      </c>
      <c r="J35" s="23">
        <v>2</v>
      </c>
    </row>
    <row r="36" spans="2:10">
      <c r="B36" s="24" t="s">
        <v>76</v>
      </c>
      <c r="C36" t="str">
        <f t="shared" si="3"/>
        <v>id=price2</v>
      </c>
      <c r="D36" s="33">
        <f t="shared" si="4"/>
        <v>36</v>
      </c>
      <c r="G36" s="22" t="s">
        <v>226</v>
      </c>
      <c r="H36" s="22" t="s">
        <v>151</v>
      </c>
      <c r="I36" s="23">
        <v>10</v>
      </c>
      <c r="J36" s="23">
        <v>2</v>
      </c>
    </row>
    <row r="37" spans="2:10">
      <c r="B37" s="24" t="s">
        <v>76</v>
      </c>
      <c r="C37" t="str">
        <f t="shared" ref="C37" si="5">"id="&amp;G37</f>
        <v>id=qty2</v>
      </c>
      <c r="D37" s="33">
        <f t="shared" ref="D37" si="6">IF(OR(H37="02", H37="03"),LEFT($D$1&amp;"-TEST00000000000000000000000",I37),IF(H37="04",ROW(),""))</f>
        <v>37</v>
      </c>
      <c r="G37" s="22" t="s">
        <v>199</v>
      </c>
      <c r="H37" s="22" t="s">
        <v>151</v>
      </c>
      <c r="I37" s="23">
        <v>10</v>
      </c>
      <c r="J37" s="23">
        <v>2</v>
      </c>
    </row>
  </sheetData>
  <phoneticPr fontId="1"/>
  <conditionalFormatting sqref="B9">
    <cfRule type="expression" dxfId="23" priority="18">
      <formula>$B9="switchTo"</formula>
    </cfRule>
    <cfRule type="expression" dxfId="22" priority="19">
      <formula>$B9="wait"</formula>
    </cfRule>
  </conditionalFormatting>
  <conditionalFormatting sqref="B9:C9">
    <cfRule type="expression" dxfId="21" priority="24">
      <formula>$B9="label"</formula>
    </cfRule>
  </conditionalFormatting>
  <conditionalFormatting sqref="C9">
    <cfRule type="expression" dxfId="20" priority="20">
      <formula>$B9="switchTo"</formula>
    </cfRule>
    <cfRule type="expression" dxfId="19" priority="21">
      <formula>$B9="wait"</formula>
    </cfRule>
  </conditionalFormatting>
  <conditionalFormatting sqref="B9:C9">
    <cfRule type="expression" dxfId="18" priority="17">
      <formula>$B9="popup"</formula>
    </cfRule>
    <cfRule type="expression" dxfId="17" priority="22">
      <formula>$B9="switchTo"</formula>
    </cfRule>
    <cfRule type="expression" dxfId="16" priority="23">
      <formula>$B9="wait"</formula>
    </cfRule>
  </conditionalFormatting>
  <conditionalFormatting sqref="B2">
    <cfRule type="expression" dxfId="7" priority="2">
      <formula>$B2="switchTo"</formula>
    </cfRule>
    <cfRule type="expression" dxfId="6" priority="3">
      <formula>$B2="wait"</formula>
    </cfRule>
  </conditionalFormatting>
  <conditionalFormatting sqref="B2:C2">
    <cfRule type="expression" dxfId="5" priority="8">
      <formula>$B2="label"</formula>
    </cfRule>
  </conditionalFormatting>
  <conditionalFormatting sqref="C2">
    <cfRule type="expression" dxfId="4" priority="4">
      <formula>$B2="switchTo"</formula>
    </cfRule>
    <cfRule type="expression" dxfId="3" priority="5">
      <formula>$B2="wait"</formula>
    </cfRule>
  </conditionalFormatting>
  <conditionalFormatting sqref="B2:C2">
    <cfRule type="expression" dxfId="2" priority="1">
      <formula>$B2="popup"</formula>
    </cfRule>
    <cfRule type="expression" dxfId="1" priority="6">
      <formula>$B2="switchTo"</formula>
    </cfRule>
    <cfRule type="expression" dxfId="0" priority="7">
      <formula>$B2="wait"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2021-04-08T04:34:34Z</dcterms:modified>
</cp:coreProperties>
</file>